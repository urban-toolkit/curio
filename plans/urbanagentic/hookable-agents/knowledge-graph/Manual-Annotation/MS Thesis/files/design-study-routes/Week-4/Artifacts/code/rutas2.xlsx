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hi\Desktop\UIC_Chicago\Knowledge_graph\Backend\Backtracking\"/>
    </mc:Choice>
  </mc:AlternateContent>
  <xr:revisionPtr revIDLastSave="0" documentId="13_ncr:9_{DACF3DAA-9F34-4A23-93A5-F11A5C4FB643}" xr6:coauthVersionLast="47" xr6:coauthVersionMax="47" xr10:uidLastSave="{00000000-0000-0000-0000-000000000000}"/>
  <bookViews>
    <workbookView xWindow="-120" yWindow="-120" windowWidth="29040" windowHeight="16440" xr2:uid="{CAF5219B-0CFF-4753-973F-EFE271C9FDE4}"/>
  </bookViews>
  <sheets>
    <sheet name="rutas2" sheetId="1" r:id="rId1"/>
  </sheets>
  <definedNames>
    <definedName name="_xlnm._FilterDatabase" localSheetId="0" hidden="1">rutas2!$M$2:$M$111</definedName>
  </definedNames>
  <calcPr calcId="0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2" i="1"/>
  <c r="L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2" i="1"/>
  <c r="O22" i="1"/>
  <c r="O110" i="1"/>
  <c r="O88" i="1"/>
  <c r="O44" i="1"/>
  <c r="O66" i="1"/>
  <c r="O10" i="1"/>
  <c r="O102" i="1"/>
  <c r="O79" i="1"/>
  <c r="O34" i="1"/>
  <c r="O59" i="1"/>
  <c r="O21" i="1"/>
  <c r="O109" i="1"/>
  <c r="O87" i="1"/>
  <c r="M2" i="1"/>
  <c r="O43" i="1"/>
  <c r="O65" i="1"/>
  <c r="O7" i="1"/>
  <c r="O95" i="1"/>
  <c r="O72" i="1"/>
  <c r="O28" i="1"/>
  <c r="O50" i="1"/>
  <c r="O15" i="1"/>
  <c r="O103" i="1"/>
  <c r="O80" i="1"/>
  <c r="O36" i="1"/>
  <c r="O57" i="1"/>
  <c r="O14" i="1"/>
  <c r="O99" i="1"/>
  <c r="O76" i="1"/>
  <c r="O33" i="1"/>
  <c r="O55" i="1"/>
  <c r="O16" i="1"/>
  <c r="O101" i="1"/>
  <c r="O82" i="1"/>
  <c r="O38" i="1"/>
  <c r="O56" i="1"/>
  <c r="O8" i="1"/>
  <c r="O97" i="1"/>
  <c r="O75" i="1"/>
  <c r="O31" i="1"/>
  <c r="O52" i="1"/>
  <c r="O18" i="1"/>
  <c r="O106" i="1"/>
  <c r="O84" i="1"/>
  <c r="O40" i="1"/>
  <c r="O62" i="1"/>
  <c r="O9" i="1"/>
  <c r="O96" i="1"/>
  <c r="O74" i="1"/>
  <c r="O30" i="1"/>
  <c r="O53" i="1"/>
  <c r="O11" i="1"/>
  <c r="O98" i="1"/>
  <c r="O77" i="1"/>
  <c r="O32" i="1"/>
  <c r="O54" i="1"/>
  <c r="O4" i="1"/>
  <c r="O92" i="1"/>
  <c r="O70" i="1"/>
  <c r="O26" i="1"/>
  <c r="O48" i="1"/>
  <c r="O12" i="1"/>
  <c r="O100" i="1"/>
  <c r="O78" i="1"/>
  <c r="O35" i="1"/>
  <c r="O60" i="1"/>
  <c r="O2" i="1"/>
  <c r="O91" i="1"/>
  <c r="O68" i="1"/>
  <c r="O24" i="1"/>
  <c r="O47" i="1"/>
  <c r="O6" i="1"/>
  <c r="O94" i="1"/>
  <c r="O73" i="1"/>
  <c r="O29" i="1"/>
  <c r="O49" i="1"/>
  <c r="O3" i="1"/>
  <c r="O90" i="1"/>
  <c r="O69" i="1"/>
  <c r="O25" i="1"/>
  <c r="O46" i="1"/>
  <c r="O5" i="1"/>
  <c r="O93" i="1"/>
  <c r="O71" i="1"/>
  <c r="O27" i="1"/>
  <c r="O51" i="1"/>
  <c r="O13" i="1"/>
  <c r="O104" i="1"/>
  <c r="O81" i="1"/>
  <c r="O37" i="1"/>
  <c r="O58" i="1"/>
  <c r="O23" i="1"/>
  <c r="O111" i="1"/>
  <c r="O89" i="1"/>
  <c r="O45" i="1"/>
  <c r="O67" i="1"/>
  <c r="O107" i="1"/>
  <c r="O85" i="1"/>
  <c r="O42" i="1"/>
  <c r="O63" i="1"/>
  <c r="O19" i="1"/>
  <c r="O108" i="1"/>
  <c r="O86" i="1"/>
  <c r="O41" i="1"/>
  <c r="O64" i="1"/>
  <c r="O17" i="1"/>
  <c r="O105" i="1"/>
  <c r="O83" i="1"/>
  <c r="O39" i="1"/>
  <c r="O61" i="1"/>
  <c r="O20" i="1"/>
</calcChain>
</file>

<file path=xl/sharedStrings.xml><?xml version="1.0" encoding="utf-8"?>
<sst xmlns="http://schemas.openxmlformats.org/spreadsheetml/2006/main" count="343" uniqueCount="31">
  <si>
    <t>[266720519, 105254026, 266720646, 305906681, 305906582, 305906578, 288471023, 256170760, 261164835, 261164834, 261164832, 261164830, 261137084, 261137094, 287487912, 261164828, 256170708, 287486676, 287486914, 287487446, 369630898, 1316586904, 261164821, 261164820, 157719711, 316309147, 365061608, 12379462011, 12379462006, 316319260, 316324910, 316325745, 316325766, 316325886, 256170566, 317747338, 317747461, 316328114, 317749784, 317749777, 317750132, 317749680, 317750090, 157719704, 348167529, 845883305, 12379450100, 348167785, 348167897, 348168258, 348168276, 12379405633, 348168287, 294178233, 440907217, 440907340, 440907517, 12379405627, 12379405626, 12379405621, 440907587, 440912017, 157738013, 845883350, 4335994222, 12379405620, 4335994221, 440911721, 845883405, 315399580, 12379405612, 294178151, 315399721, 315399785, 12488799120, 294177965, 315398303, 315398373, 315398374, 294177835, 845887255, 4332497521, 294177760, 294177671, 294177641, 294177583, 294177629, 294177430, 10976515169, 368016410, 314782297, 157737999, 314782345, 314782378, 261207114, 364998447, 364998429, 261119844, 261259456, 364998390, 6489536423, 364998375, 364998372, 261163685, 7244111447, 261163684, 7244111446, 732818449, 261198377, 261137215, 261264102, 261252859, 261252857, 261252855]</t>
  </si>
  <si>
    <t>[261132201, 261132220, 261141638, 261141637, 6877560033, 263985422, 7413126430, 7413126428, 307940891, 307940886, 307940846, 11337127508, 307940832, 6969680327, 6969680316, 308435154, 7784238155, 9345003375, 12228522724, 7784238135, 7784238150, 7784238136, 7784238137, 7784238088, 7784238097, 7784238085, 7784238101, 7784238109, 263399268, 12228487119, 12228487117, 734844578, 366310702, 366310125, 296373826, 48991450, 8725822327, 296370790, 1594888735, 296370420, 296370597, 296369597, 296370896, 296370957, 296371089, 4255701177, 296371182, 296371197, 296371331, 377189560, 377189436, 369872302, 261170559, 261170558, 43510493, 2424399938, 261170556, 261170554, 43513140, 369882174, 258967486, 917879910, 918512685, 354053097, 346054074, 261170547, 4909750702, 261119854, 261170545, 261170544, 261170543, 261170542, 261163631, 261135333, 261163630, 261199542, 261235143, 261235141]</t>
  </si>
  <si>
    <t>[261154568, 261154567, 261154565, 1475142963, 306056279, 261154563, 261154562, 261154561, 307942778, 261154559, 308436765, 261139117, 261185512, 261187496, 289550451, 261269662, 261269660, 261098881, 261227593, 261223354, 261191232, 261269654, 369649684, 261269650, 261177936, 261147066, 768249764, 366227803, 48991444, 261269095, 261142592, 261215675, 261202963, 261096028, 261305961, 261302980, 5337853369, 12236907330, 261305959, 13032366904, 13032367130, 261114521, 1346008492, 4332627045, 261207092, 261245294, 261202194, 261119848, 261336479, 2470391253, 261163657, 261252030, 261198380, 408447506, 261222791, 261092571, 261252885, 261248405, 261281946, 261221002, 2042815119, 261230330, 261143251, 5140941323, 261132072, 1314248313, 261123881, 1309728801, 261116789, 261116790]</t>
  </si>
  <si>
    <t>[261270039, 4081947335, 256170703, 306083048, 261250179, 306084604, 306084612, 256170556, 9194526725, 263372855, 263372613, 26703434, 26703435, 26703510, 26703625, 26703636, 287237745, 26703638, 8499816162, 26703640, 6318015021, 261223351, 261191260, 261288995, 369649711, 369649712, 369649696, 369649681, 369649684, 261269650, 261177936, 261147066, 768249764, 366227803, 48991444, 261269095, 261142592, 261215675, 261202963, 261096028, 261305961, 261302980, 5337853369, 12236907330, 261305959, 13032366904, 13032367130, 261114521, 1346008492, 4332627045, 261207092, 261245294, 261202194, 261119848, 261336479, 2470391253, 261163657, 261252030, 261198380, 408447506, 261222791, 261092571, 261252885, 261248405, 261281946, 261221002, 2042815119, 261230330, 261143251, 5140941323, 261132072, 1314248313]</t>
  </si>
  <si>
    <t>[261207210, 261332105, 261262157, 261241167, 261186020, 261332107, 4081872088, 4081947337, 4081947336, 4081947335, 256170703, 306083048, 261250179, 306084604, 306084612, 256170556, 9194526725, 263372855, 263372613, 26703434, 26703435, 26703510, 26703625, 26703636, 287237745, 287237987, 287237906, 1272698314, 287238171, 709393174, 25779174, 4503178589, 4503178601, 709393461, 287261388, 258023775, 25779189, 10273279149, 287261610, 287261643, 257381547, 257381566, 257381556, 257381546, 11887891061, 619040194, 10945677472, 271162345, 258021253, 27477586, 28289897, 28289874, 28289857, 27446709, 27446710, 27446491, 27446490, 704976299, 13184555237, 33718418, 739120275]</t>
  </si>
  <si>
    <t>0721</t>
  </si>
  <si>
    <t>t00z</t>
  </si>
  <si>
    <t>t12z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</si>
  <si>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</si>
  <si>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</si>
  <si>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</si>
  <si>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</si>
  <si>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</si>
  <si>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</si>
  <si>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</si>
  <si>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</si>
  <si>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</si>
  <si>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</si>
  <si>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Ruta</t>
  </si>
  <si>
    <t>Origen</t>
  </si>
  <si>
    <t>Destino</t>
  </si>
  <si>
    <t>Route_length</t>
  </si>
  <si>
    <t>route_time</t>
  </si>
  <si>
    <t>rain_length</t>
  </si>
  <si>
    <t>heat_length</t>
  </si>
  <si>
    <t>wind_length</t>
  </si>
  <si>
    <t>rh_lenghts</t>
  </si>
  <si>
    <t>adjusted rain_length</t>
  </si>
  <si>
    <r>
      <rPr>
        <b/>
        <sz val="11"/>
        <color theme="1"/>
        <rFont val="Aptos Narrow"/>
        <family val="2"/>
        <scheme val="minor"/>
      </rPr>
      <t xml:space="preserve">adjusted </t>
    </r>
    <r>
      <rPr>
        <sz val="11"/>
        <color theme="1"/>
        <rFont val="Aptos Narrow"/>
        <family val="2"/>
        <scheme val="minor"/>
      </rPr>
      <t>wind_length</t>
    </r>
  </si>
  <si>
    <t>adjusted heat_length</t>
  </si>
  <si>
    <t>adjusted rh_lenghts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</si>
</sst>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onsolas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0" fontId="0" fillId="33" borderId="0" xfId="0" applyFill="1"/>
    <xf numFmtId="0" fontId="0" fillId="33" borderId="0" xfId="0" quotePrefix="1" applyFill="1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Dataset elements by  route by 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rutas2!$L$1</c:f>
              <c:strCache>
                <c:ptCount val="1"/>
                <c:pt idx="0">
                  <c:v>adjusted rain_length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rutas2!$L$2:$L$111</c:f>
              <c:numCache>
                <c:formatCode>General</c:formatCode>
                <c:ptCount val="110"/>
                <c:pt idx="0">
                  <c:v>0.85699999999999998</c:v>
                </c:pt>
                <c:pt idx="1">
                  <c:v>0.85699999999999998</c:v>
                </c:pt>
                <c:pt idx="2">
                  <c:v>0.85699999999999998</c:v>
                </c:pt>
                <c:pt idx="3">
                  <c:v>0.85699999999999998</c:v>
                </c:pt>
                <c:pt idx="4">
                  <c:v>0.85699999999999998</c:v>
                </c:pt>
                <c:pt idx="5">
                  <c:v>0.85699999999999998</c:v>
                </c:pt>
                <c:pt idx="6">
                  <c:v>0.92</c:v>
                </c:pt>
                <c:pt idx="7">
                  <c:v>5.3490000000000002</c:v>
                </c:pt>
                <c:pt idx="8">
                  <c:v>0.85699999999999998</c:v>
                </c:pt>
                <c:pt idx="9">
                  <c:v>0.85699999999999998</c:v>
                </c:pt>
                <c:pt idx="10">
                  <c:v>234.798</c:v>
                </c:pt>
                <c:pt idx="11">
                  <c:v>36.728999999999999</c:v>
                </c:pt>
                <c:pt idx="12">
                  <c:v>70.311999999999998</c:v>
                </c:pt>
                <c:pt idx="13">
                  <c:v>0.85699999999999998</c:v>
                </c:pt>
                <c:pt idx="14">
                  <c:v>6.319</c:v>
                </c:pt>
                <c:pt idx="15">
                  <c:v>0.85699999999999998</c:v>
                </c:pt>
                <c:pt idx="16">
                  <c:v>0.95299999999999996</c:v>
                </c:pt>
                <c:pt idx="17">
                  <c:v>0.85699999999999998</c:v>
                </c:pt>
                <c:pt idx="18">
                  <c:v>0.85699999999999998</c:v>
                </c:pt>
                <c:pt idx="19">
                  <c:v>0.85699999999999998</c:v>
                </c:pt>
                <c:pt idx="20">
                  <c:v>0.85699999999999998</c:v>
                </c:pt>
                <c:pt idx="21">
                  <c:v>0.85699999999999998</c:v>
                </c:pt>
                <c:pt idx="22">
                  <c:v>0.78</c:v>
                </c:pt>
                <c:pt idx="23">
                  <c:v>0.78</c:v>
                </c:pt>
                <c:pt idx="24">
                  <c:v>0.78</c:v>
                </c:pt>
                <c:pt idx="25">
                  <c:v>0.78</c:v>
                </c:pt>
                <c:pt idx="26">
                  <c:v>0.872</c:v>
                </c:pt>
                <c:pt idx="27">
                  <c:v>0.78</c:v>
                </c:pt>
                <c:pt idx="28">
                  <c:v>8.3699999999999992</c:v>
                </c:pt>
                <c:pt idx="29">
                  <c:v>0.79</c:v>
                </c:pt>
                <c:pt idx="30">
                  <c:v>0.78</c:v>
                </c:pt>
                <c:pt idx="31">
                  <c:v>76.599999999999994</c:v>
                </c:pt>
                <c:pt idx="32">
                  <c:v>0.78</c:v>
                </c:pt>
                <c:pt idx="33">
                  <c:v>36.298999999999999</c:v>
                </c:pt>
                <c:pt idx="34">
                  <c:v>0.78</c:v>
                </c:pt>
                <c:pt idx="35">
                  <c:v>490.56</c:v>
                </c:pt>
                <c:pt idx="36">
                  <c:v>32.33</c:v>
                </c:pt>
                <c:pt idx="37">
                  <c:v>0.78</c:v>
                </c:pt>
                <c:pt idx="38">
                  <c:v>0.98399999999999999</c:v>
                </c:pt>
                <c:pt idx="39">
                  <c:v>0.78</c:v>
                </c:pt>
                <c:pt idx="40">
                  <c:v>0.78</c:v>
                </c:pt>
                <c:pt idx="41">
                  <c:v>0.78</c:v>
                </c:pt>
                <c:pt idx="42">
                  <c:v>0.78</c:v>
                </c:pt>
                <c:pt idx="43">
                  <c:v>0.78</c:v>
                </c:pt>
                <c:pt idx="44">
                  <c:v>0.83799999999999997</c:v>
                </c:pt>
                <c:pt idx="45">
                  <c:v>0.83799999999999997</c:v>
                </c:pt>
                <c:pt idx="46">
                  <c:v>0.83799999999999997</c:v>
                </c:pt>
                <c:pt idx="47">
                  <c:v>0.83799999999999997</c:v>
                </c:pt>
                <c:pt idx="48">
                  <c:v>0.88500000000000001</c:v>
                </c:pt>
                <c:pt idx="49">
                  <c:v>0.83799999999999997</c:v>
                </c:pt>
                <c:pt idx="50">
                  <c:v>0.83799999999999997</c:v>
                </c:pt>
                <c:pt idx="51">
                  <c:v>11.672000000000001</c:v>
                </c:pt>
                <c:pt idx="52">
                  <c:v>1.361</c:v>
                </c:pt>
                <c:pt idx="53">
                  <c:v>99.132999999999996</c:v>
                </c:pt>
                <c:pt idx="54">
                  <c:v>25.876999999999999</c:v>
                </c:pt>
                <c:pt idx="55">
                  <c:v>0.83799999999999997</c:v>
                </c:pt>
                <c:pt idx="56">
                  <c:v>67.709999999999994</c:v>
                </c:pt>
                <c:pt idx="57">
                  <c:v>0.83799999999999997</c:v>
                </c:pt>
                <c:pt idx="58">
                  <c:v>56.459000000000003</c:v>
                </c:pt>
                <c:pt idx="59">
                  <c:v>0.83799999999999997</c:v>
                </c:pt>
                <c:pt idx="60">
                  <c:v>1.3360000000000001</c:v>
                </c:pt>
                <c:pt idx="61">
                  <c:v>0.83799999999999997</c:v>
                </c:pt>
                <c:pt idx="62">
                  <c:v>0.83799999999999997</c:v>
                </c:pt>
                <c:pt idx="63">
                  <c:v>0.83799999999999997</c:v>
                </c:pt>
                <c:pt idx="64">
                  <c:v>0.83799999999999997</c:v>
                </c:pt>
                <c:pt idx="65">
                  <c:v>0.83799999999999997</c:v>
                </c:pt>
                <c:pt idx="66">
                  <c:v>0.84899999999999998</c:v>
                </c:pt>
                <c:pt idx="67">
                  <c:v>0.84899999999999998</c:v>
                </c:pt>
                <c:pt idx="68">
                  <c:v>0.84899999999999998</c:v>
                </c:pt>
                <c:pt idx="69">
                  <c:v>0.84899999999999998</c:v>
                </c:pt>
                <c:pt idx="70">
                  <c:v>1.109</c:v>
                </c:pt>
                <c:pt idx="71">
                  <c:v>0.84899999999999998</c:v>
                </c:pt>
                <c:pt idx="72">
                  <c:v>20.763999999999999</c:v>
                </c:pt>
                <c:pt idx="73">
                  <c:v>0.872</c:v>
                </c:pt>
                <c:pt idx="74">
                  <c:v>87.551000000000002</c:v>
                </c:pt>
                <c:pt idx="75">
                  <c:v>0.84899999999999998</c:v>
                </c:pt>
                <c:pt idx="76">
                  <c:v>18.108000000000001</c:v>
                </c:pt>
                <c:pt idx="77">
                  <c:v>0.84899999999999998</c:v>
                </c:pt>
                <c:pt idx="78">
                  <c:v>0.84899999999999998</c:v>
                </c:pt>
                <c:pt idx="79">
                  <c:v>742.51</c:v>
                </c:pt>
                <c:pt idx="80">
                  <c:v>39.186999999999998</c:v>
                </c:pt>
                <c:pt idx="81">
                  <c:v>0.84899999999999998</c:v>
                </c:pt>
                <c:pt idx="82">
                  <c:v>1.1599999999999999</c:v>
                </c:pt>
                <c:pt idx="83">
                  <c:v>0.84899999999999998</c:v>
                </c:pt>
                <c:pt idx="84">
                  <c:v>0.84899999999999998</c:v>
                </c:pt>
                <c:pt idx="85">
                  <c:v>0.84899999999999998</c:v>
                </c:pt>
                <c:pt idx="86">
                  <c:v>0.84899999999999998</c:v>
                </c:pt>
                <c:pt idx="87">
                  <c:v>0.84899999999999998</c:v>
                </c:pt>
                <c:pt idx="88">
                  <c:v>0.63600000000000001</c:v>
                </c:pt>
                <c:pt idx="89">
                  <c:v>0.63600000000000001</c:v>
                </c:pt>
                <c:pt idx="90">
                  <c:v>0.63600000000000001</c:v>
                </c:pt>
                <c:pt idx="91">
                  <c:v>0.63600000000000001</c:v>
                </c:pt>
                <c:pt idx="92">
                  <c:v>0.63600000000000001</c:v>
                </c:pt>
                <c:pt idx="93">
                  <c:v>1.268</c:v>
                </c:pt>
                <c:pt idx="94">
                  <c:v>30.698</c:v>
                </c:pt>
                <c:pt idx="95">
                  <c:v>0.63600000000000001</c:v>
                </c:pt>
                <c:pt idx="96">
                  <c:v>0.63600000000000001</c:v>
                </c:pt>
                <c:pt idx="97">
                  <c:v>74.483000000000004</c:v>
                </c:pt>
                <c:pt idx="98">
                  <c:v>11.176</c:v>
                </c:pt>
                <c:pt idx="99">
                  <c:v>27.341999999999999</c:v>
                </c:pt>
                <c:pt idx="100">
                  <c:v>0.63600000000000001</c:v>
                </c:pt>
                <c:pt idx="101">
                  <c:v>0.63600000000000001</c:v>
                </c:pt>
                <c:pt idx="102">
                  <c:v>147.892</c:v>
                </c:pt>
                <c:pt idx="103">
                  <c:v>0.63600000000000001</c:v>
                </c:pt>
                <c:pt idx="104">
                  <c:v>0.70699999999999996</c:v>
                </c:pt>
                <c:pt idx="105">
                  <c:v>0.63600000000000001</c:v>
                </c:pt>
                <c:pt idx="106">
                  <c:v>0.63600000000000001</c:v>
                </c:pt>
                <c:pt idx="107">
                  <c:v>0.63600000000000001</c:v>
                </c:pt>
                <c:pt idx="108">
                  <c:v>0.63600000000000001</c:v>
                </c:pt>
                <c:pt idx="109">
                  <c:v>0.63600000000000001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9-4569-9C61-2B4BA94A4C16}"/>
            </c:ext>
          </c:extLst>
        </c:ser>
        <c:ser>
          <c:idx val="1"/>
          <c:order val="1"/>
          <c:tx>
            <c:strRef>
              <c:f>rutas2!$M$1</c:f>
              <c:strCache>
                <c:ptCount val="1"/>
                <c:pt idx="0">
                  <c:v>adjusted heat_length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rutas2!$M$2:$M$111</c:f>
              <c:numCache>
                <c:formatCode>General</c:formatCode>
                <c:ptCount val="110"/>
                <c:pt idx="0">
                  <c:v>2585.2949600000002</c:v>
                </c:pt>
                <c:pt idx="1">
                  <c:v>2584.2845699999998</c:v>
                </c:pt>
                <c:pt idx="2">
                  <c:v>2574.8829099999998</c:v>
                </c:pt>
                <c:pt idx="3">
                  <c:v>2573.8608300000001</c:v>
                </c:pt>
                <c:pt idx="4">
                  <c:v>2571.8843700000002</c:v>
                </c:pt>
                <c:pt idx="5">
                  <c:v>2571.6771600000002</c:v>
                </c:pt>
                <c:pt idx="6">
                  <c:v>2565.5023799999999</c:v>
                </c:pt>
                <c:pt idx="7">
                  <c:v>2565.3359700000001</c:v>
                </c:pt>
                <c:pt idx="8">
                  <c:v>2562.2755000000002</c:v>
                </c:pt>
                <c:pt idx="9">
                  <c:v>2561.7464</c:v>
                </c:pt>
                <c:pt idx="10">
                  <c:v>2561.7086399999998</c:v>
                </c:pt>
                <c:pt idx="11">
                  <c:v>2560.1107299999999</c:v>
                </c:pt>
                <c:pt idx="12">
                  <c:v>2559.5181200000002</c:v>
                </c:pt>
                <c:pt idx="13">
                  <c:v>2557.6875399999999</c:v>
                </c:pt>
                <c:pt idx="14">
                  <c:v>2557.6155600000002</c:v>
                </c:pt>
                <c:pt idx="15">
                  <c:v>2557.3228100000001</c:v>
                </c:pt>
                <c:pt idx="16">
                  <c:v>2553.8119799999999</c:v>
                </c:pt>
                <c:pt idx="17">
                  <c:v>2546.6022699999999</c:v>
                </c:pt>
                <c:pt idx="18">
                  <c:v>2543.9080399999998</c:v>
                </c:pt>
                <c:pt idx="19">
                  <c:v>2539.1149</c:v>
                </c:pt>
                <c:pt idx="20">
                  <c:v>2533.64779</c:v>
                </c:pt>
                <c:pt idx="22">
                  <c:v>2350.3661900000002</c:v>
                </c:pt>
                <c:pt idx="23">
                  <c:v>2350.3646699999999</c:v>
                </c:pt>
                <c:pt idx="24">
                  <c:v>2341.5316899999998</c:v>
                </c:pt>
                <c:pt idx="25">
                  <c:v>2340.33338</c:v>
                </c:pt>
                <c:pt idx="26">
                  <c:v>2339.8255199999999</c:v>
                </c:pt>
                <c:pt idx="27">
                  <c:v>2338.9639299999999</c:v>
                </c:pt>
                <c:pt idx="28">
                  <c:v>2333.34836</c:v>
                </c:pt>
                <c:pt idx="29">
                  <c:v>2333.2857600000002</c:v>
                </c:pt>
                <c:pt idx="30">
                  <c:v>2330.0418300000001</c:v>
                </c:pt>
                <c:pt idx="31">
                  <c:v>2329.6003799999999</c:v>
                </c:pt>
                <c:pt idx="32">
                  <c:v>2329.3518800000002</c:v>
                </c:pt>
                <c:pt idx="33">
                  <c:v>2329.03998</c:v>
                </c:pt>
                <c:pt idx="34">
                  <c:v>2327.81817</c:v>
                </c:pt>
                <c:pt idx="35">
                  <c:v>2327.7797099999998</c:v>
                </c:pt>
                <c:pt idx="36">
                  <c:v>2327.0730400000002</c:v>
                </c:pt>
                <c:pt idx="37">
                  <c:v>2324.9672999999998</c:v>
                </c:pt>
                <c:pt idx="38">
                  <c:v>2323.61877</c:v>
                </c:pt>
                <c:pt idx="39">
                  <c:v>2313.4330199999999</c:v>
                </c:pt>
                <c:pt idx="40">
                  <c:v>2313.3506499999999</c:v>
                </c:pt>
                <c:pt idx="41">
                  <c:v>2306.9889499999999</c:v>
                </c:pt>
                <c:pt idx="42">
                  <c:v>2303.9387200000001</c:v>
                </c:pt>
                <c:pt idx="44">
                  <c:v>2527.28433</c:v>
                </c:pt>
                <c:pt idx="45">
                  <c:v>2526.93534</c:v>
                </c:pt>
                <c:pt idx="46">
                  <c:v>2518.1362399999998</c:v>
                </c:pt>
                <c:pt idx="47">
                  <c:v>2515.8057199999998</c:v>
                </c:pt>
                <c:pt idx="48">
                  <c:v>2514.5554099999999</c:v>
                </c:pt>
                <c:pt idx="49">
                  <c:v>2511.5144399999999</c:v>
                </c:pt>
                <c:pt idx="50">
                  <c:v>2509.3158400000002</c:v>
                </c:pt>
                <c:pt idx="51">
                  <c:v>2508.78217</c:v>
                </c:pt>
                <c:pt idx="52">
                  <c:v>2506.1346800000001</c:v>
                </c:pt>
                <c:pt idx="53">
                  <c:v>2505.76935</c:v>
                </c:pt>
                <c:pt idx="54">
                  <c:v>2502.8806399999999</c:v>
                </c:pt>
                <c:pt idx="55">
                  <c:v>2502.7851300000002</c:v>
                </c:pt>
                <c:pt idx="56">
                  <c:v>2502.6250100000002</c:v>
                </c:pt>
                <c:pt idx="57">
                  <c:v>2502.4370199999998</c:v>
                </c:pt>
                <c:pt idx="58">
                  <c:v>2502.1429800000001</c:v>
                </c:pt>
                <c:pt idx="59">
                  <c:v>2499.6848100000002</c:v>
                </c:pt>
                <c:pt idx="60">
                  <c:v>2497.8421400000002</c:v>
                </c:pt>
                <c:pt idx="61">
                  <c:v>2487.6581999999999</c:v>
                </c:pt>
                <c:pt idx="62">
                  <c:v>2485.3042099999998</c:v>
                </c:pt>
                <c:pt idx="63">
                  <c:v>2480.3301799999999</c:v>
                </c:pt>
                <c:pt idx="64">
                  <c:v>2475.3301700000002</c:v>
                </c:pt>
                <c:pt idx="66">
                  <c:v>2560.1651200000001</c:v>
                </c:pt>
                <c:pt idx="67">
                  <c:v>2560.1600199999998</c:v>
                </c:pt>
                <c:pt idx="68">
                  <c:v>2550.5522999999998</c:v>
                </c:pt>
                <c:pt idx="69">
                  <c:v>2549.3901999999998</c:v>
                </c:pt>
                <c:pt idx="70">
                  <c:v>2548.1575499999999</c:v>
                </c:pt>
                <c:pt idx="71">
                  <c:v>2547.6321800000001</c:v>
                </c:pt>
                <c:pt idx="72">
                  <c:v>2541.5755100000001</c:v>
                </c:pt>
                <c:pt idx="73">
                  <c:v>2541.3279900000002</c:v>
                </c:pt>
                <c:pt idx="74">
                  <c:v>2537.8031700000001</c:v>
                </c:pt>
                <c:pt idx="75">
                  <c:v>2537.7983300000001</c:v>
                </c:pt>
                <c:pt idx="76">
                  <c:v>2536.65094</c:v>
                </c:pt>
                <c:pt idx="77">
                  <c:v>2536.5592000000001</c:v>
                </c:pt>
                <c:pt idx="78">
                  <c:v>2535.7716300000002</c:v>
                </c:pt>
                <c:pt idx="79">
                  <c:v>2535.5504299999998</c:v>
                </c:pt>
                <c:pt idx="80">
                  <c:v>2534.7520199999999</c:v>
                </c:pt>
                <c:pt idx="81">
                  <c:v>2532.6574799999999</c:v>
                </c:pt>
                <c:pt idx="82">
                  <c:v>2530.79522</c:v>
                </c:pt>
                <c:pt idx="83">
                  <c:v>2519.9927200000002</c:v>
                </c:pt>
                <c:pt idx="84">
                  <c:v>2519.5142500000002</c:v>
                </c:pt>
                <c:pt idx="85">
                  <c:v>2512.73308</c:v>
                </c:pt>
                <c:pt idx="86">
                  <c:v>2509.5403999999999</c:v>
                </c:pt>
                <c:pt idx="88">
                  <c:v>1918.1096</c:v>
                </c:pt>
                <c:pt idx="89">
                  <c:v>1917.13968</c:v>
                </c:pt>
                <c:pt idx="90">
                  <c:v>1910.0325600000001</c:v>
                </c:pt>
                <c:pt idx="91">
                  <c:v>1909.07212</c:v>
                </c:pt>
                <c:pt idx="92">
                  <c:v>1908.26351</c:v>
                </c:pt>
                <c:pt idx="93">
                  <c:v>1908.2256600000001</c:v>
                </c:pt>
                <c:pt idx="94">
                  <c:v>1903.2776899999999</c:v>
                </c:pt>
                <c:pt idx="95">
                  <c:v>1902.5443399999999</c:v>
                </c:pt>
                <c:pt idx="96">
                  <c:v>1901.44894</c:v>
                </c:pt>
                <c:pt idx="97">
                  <c:v>1901.1012499999999</c:v>
                </c:pt>
                <c:pt idx="98">
                  <c:v>1900.7686200000001</c:v>
                </c:pt>
                <c:pt idx="99">
                  <c:v>1899.2394200000001</c:v>
                </c:pt>
                <c:pt idx="100">
                  <c:v>1898.97237</c:v>
                </c:pt>
                <c:pt idx="101">
                  <c:v>1898.9266</c:v>
                </c:pt>
                <c:pt idx="102">
                  <c:v>1898.68327</c:v>
                </c:pt>
                <c:pt idx="103">
                  <c:v>1896.82197</c:v>
                </c:pt>
                <c:pt idx="104">
                  <c:v>1895.3143500000001</c:v>
                </c:pt>
                <c:pt idx="105">
                  <c:v>1886.9594300000001</c:v>
                </c:pt>
                <c:pt idx="106">
                  <c:v>1886.8775599999999</c:v>
                </c:pt>
                <c:pt idx="107">
                  <c:v>1882.0672199999999</c:v>
                </c:pt>
                <c:pt idx="108">
                  <c:v>1879.2797599999999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39-4569-9C61-2B4BA94A4C16}"/>
            </c:ext>
          </c:extLst>
        </c:ser>
        <c:ser>
          <c:idx val="2"/>
          <c:order val="2"/>
          <c:tx>
            <c:strRef>
              <c:f>rutas2!$N$1</c:f>
              <c:strCache>
                <c:ptCount val="1"/>
                <c:pt idx="0">
                  <c:v>adjusted wind_length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rutas2!$N$2:$N$111</c:f>
              <c:numCache>
                <c:formatCode>General</c:formatCode>
                <c:ptCount val="110"/>
                <c:pt idx="0">
                  <c:v>93.8934</c:v>
                </c:pt>
                <c:pt idx="1">
                  <c:v>203.16419999999999</c:v>
                </c:pt>
                <c:pt idx="2">
                  <c:v>65.324299999999994</c:v>
                </c:pt>
                <c:pt idx="3">
                  <c:v>318.54300000000001</c:v>
                </c:pt>
                <c:pt idx="4">
                  <c:v>43.474800000000002</c:v>
                </c:pt>
                <c:pt idx="5">
                  <c:v>58.865699999999997</c:v>
                </c:pt>
                <c:pt idx="6">
                  <c:v>180.9282</c:v>
                </c:pt>
                <c:pt idx="7">
                  <c:v>88.882199999999997</c:v>
                </c:pt>
                <c:pt idx="8">
                  <c:v>240.0985</c:v>
                </c:pt>
                <c:pt idx="9">
                  <c:v>54.128399999999999</c:v>
                </c:pt>
                <c:pt idx="10">
                  <c:v>269.68090000000001</c:v>
                </c:pt>
                <c:pt idx="11">
                  <c:v>1226.9060999999999</c:v>
                </c:pt>
                <c:pt idx="12">
                  <c:v>40.726399999999998</c:v>
                </c:pt>
                <c:pt idx="13">
                  <c:v>77.006600000000006</c:v>
                </c:pt>
                <c:pt idx="14">
                  <c:v>115.1108</c:v>
                </c:pt>
                <c:pt idx="15">
                  <c:v>760.84649999999999</c:v>
                </c:pt>
                <c:pt idx="16">
                  <c:v>98.9298</c:v>
                </c:pt>
                <c:pt idx="17">
                  <c:v>416.49990000000003</c:v>
                </c:pt>
                <c:pt idx="18">
                  <c:v>618.83510000000001</c:v>
                </c:pt>
                <c:pt idx="19">
                  <c:v>114.31619999999999</c:v>
                </c:pt>
                <c:pt idx="20">
                  <c:v>291.47399999999999</c:v>
                </c:pt>
                <c:pt idx="21">
                  <c:v>1077.0445</c:v>
                </c:pt>
                <c:pt idx="22">
                  <c:v>108.53749999999999</c:v>
                </c:pt>
                <c:pt idx="23">
                  <c:v>123.639</c:v>
                </c:pt>
                <c:pt idx="24">
                  <c:v>55.361400000000003</c:v>
                </c:pt>
                <c:pt idx="25">
                  <c:v>250.99889999999999</c:v>
                </c:pt>
                <c:pt idx="26">
                  <c:v>21.118500000000001</c:v>
                </c:pt>
                <c:pt idx="27">
                  <c:v>33.565399999999997</c:v>
                </c:pt>
                <c:pt idx="28">
                  <c:v>66.377300000000005</c:v>
                </c:pt>
                <c:pt idx="29">
                  <c:v>147.2276</c:v>
                </c:pt>
                <c:pt idx="30">
                  <c:v>28.766200000000001</c:v>
                </c:pt>
                <c:pt idx="31">
                  <c:v>44.722999999999999</c:v>
                </c:pt>
                <c:pt idx="32">
                  <c:v>205.886</c:v>
                </c:pt>
                <c:pt idx="33">
                  <c:v>255.75659999999999</c:v>
                </c:pt>
                <c:pt idx="34">
                  <c:v>122.1533</c:v>
                </c:pt>
                <c:pt idx="35">
                  <c:v>1127.0352</c:v>
                </c:pt>
                <c:pt idx="36">
                  <c:v>116.02809999999999</c:v>
                </c:pt>
                <c:pt idx="37">
                  <c:v>699.26509999999996</c:v>
                </c:pt>
                <c:pt idx="38">
                  <c:v>94.672899999999998</c:v>
                </c:pt>
                <c:pt idx="39">
                  <c:v>350.31310000000002</c:v>
                </c:pt>
                <c:pt idx="40">
                  <c:v>576.89700000000005</c:v>
                </c:pt>
                <c:pt idx="41">
                  <c:v>108.9355</c:v>
                </c:pt>
                <c:pt idx="42">
                  <c:v>244.28700000000001</c:v>
                </c:pt>
                <c:pt idx="43">
                  <c:v>964.21950000000004</c:v>
                </c:pt>
                <c:pt idx="44">
                  <c:v>133.27930000000001</c:v>
                </c:pt>
                <c:pt idx="45">
                  <c:v>143.61580000000001</c:v>
                </c:pt>
                <c:pt idx="46">
                  <c:v>49.202399999999997</c:v>
                </c:pt>
                <c:pt idx="47">
                  <c:v>80.059299999999993</c:v>
                </c:pt>
                <c:pt idx="48">
                  <c:v>16.699300000000001</c:v>
                </c:pt>
                <c:pt idx="49">
                  <c:v>220.7448</c:v>
                </c:pt>
                <c:pt idx="50">
                  <c:v>155.26589999999999</c:v>
                </c:pt>
                <c:pt idx="51">
                  <c:v>37.469700000000003</c:v>
                </c:pt>
                <c:pt idx="52">
                  <c:v>36.29</c:v>
                </c:pt>
                <c:pt idx="53">
                  <c:v>44.671399999999998</c:v>
                </c:pt>
                <c:pt idx="54">
                  <c:v>113.46469999999999</c:v>
                </c:pt>
                <c:pt idx="55">
                  <c:v>137.5915</c:v>
                </c:pt>
                <c:pt idx="56">
                  <c:v>1217.6576</c:v>
                </c:pt>
                <c:pt idx="57">
                  <c:v>212.21100000000001</c:v>
                </c:pt>
                <c:pt idx="58">
                  <c:v>262.99790000000002</c:v>
                </c:pt>
                <c:pt idx="59">
                  <c:v>701.27869999999996</c:v>
                </c:pt>
                <c:pt idx="60">
                  <c:v>84.660600000000002</c:v>
                </c:pt>
                <c:pt idx="61">
                  <c:v>623.99260000000004</c:v>
                </c:pt>
                <c:pt idx="62">
                  <c:v>346.3134</c:v>
                </c:pt>
                <c:pt idx="63">
                  <c:v>108.8122</c:v>
                </c:pt>
                <c:pt idx="64">
                  <c:v>261.52460000000002</c:v>
                </c:pt>
                <c:pt idx="65">
                  <c:v>927.56179999999995</c:v>
                </c:pt>
                <c:pt idx="66">
                  <c:v>113.4984</c:v>
                </c:pt>
                <c:pt idx="67">
                  <c:v>125.1558</c:v>
                </c:pt>
                <c:pt idx="68">
                  <c:v>56.771299999999997</c:v>
                </c:pt>
                <c:pt idx="69">
                  <c:v>260.3263</c:v>
                </c:pt>
                <c:pt idx="70">
                  <c:v>13.3756</c:v>
                </c:pt>
                <c:pt idx="71">
                  <c:v>34.6008</c:v>
                </c:pt>
                <c:pt idx="72">
                  <c:v>70.826300000000003</c:v>
                </c:pt>
                <c:pt idx="73">
                  <c:v>167.84620000000001</c:v>
                </c:pt>
                <c:pt idx="74">
                  <c:v>48.952199999999998</c:v>
                </c:pt>
                <c:pt idx="75">
                  <c:v>29.666</c:v>
                </c:pt>
                <c:pt idx="76">
                  <c:v>270.65179999999998</c:v>
                </c:pt>
                <c:pt idx="77">
                  <c:v>220.33629999999999</c:v>
                </c:pt>
                <c:pt idx="78">
                  <c:v>139.2619</c:v>
                </c:pt>
                <c:pt idx="79">
                  <c:v>1184.6065000000001</c:v>
                </c:pt>
                <c:pt idx="80">
                  <c:v>122.17270000000001</c:v>
                </c:pt>
                <c:pt idx="81">
                  <c:v>755.54190000000006</c:v>
                </c:pt>
                <c:pt idx="82">
                  <c:v>99.567899999999995</c:v>
                </c:pt>
                <c:pt idx="83">
                  <c:v>630.03809999999999</c:v>
                </c:pt>
                <c:pt idx="84">
                  <c:v>375.99770000000001</c:v>
                </c:pt>
                <c:pt idx="85">
                  <c:v>118.52030000000001</c:v>
                </c:pt>
                <c:pt idx="86">
                  <c:v>263.31319999999999</c:v>
                </c:pt>
                <c:pt idx="87">
                  <c:v>1046.6944000000001</c:v>
                </c:pt>
                <c:pt idx="88">
                  <c:v>85.968599999999995</c:v>
                </c:pt>
                <c:pt idx="89">
                  <c:v>92.674199999999999</c:v>
                </c:pt>
                <c:pt idx="90">
                  <c:v>44.979300000000002</c:v>
                </c:pt>
                <c:pt idx="91">
                  <c:v>193.28120000000001</c:v>
                </c:pt>
                <c:pt idx="92">
                  <c:v>44.239699999999999</c:v>
                </c:pt>
                <c:pt idx="93">
                  <c:v>6.9249999999999998</c:v>
                </c:pt>
                <c:pt idx="94">
                  <c:v>31.334199999999999</c:v>
                </c:pt>
                <c:pt idx="95">
                  <c:v>128.46889999999999</c:v>
                </c:pt>
                <c:pt idx="96">
                  <c:v>10.7095</c:v>
                </c:pt>
                <c:pt idx="97">
                  <c:v>37.951900000000002</c:v>
                </c:pt>
                <c:pt idx="98">
                  <c:v>185.42320000000001</c:v>
                </c:pt>
                <c:pt idx="99">
                  <c:v>83.565600000000003</c:v>
                </c:pt>
                <c:pt idx="100">
                  <c:v>128.67439999999999</c:v>
                </c:pt>
                <c:pt idx="101">
                  <c:v>100.486</c:v>
                </c:pt>
                <c:pt idx="102">
                  <c:v>890.95939999999996</c:v>
                </c:pt>
                <c:pt idx="103">
                  <c:v>552.22239999999999</c:v>
                </c:pt>
                <c:pt idx="104">
                  <c:v>77.316999999999993</c:v>
                </c:pt>
                <c:pt idx="105">
                  <c:v>475.0856</c:v>
                </c:pt>
                <c:pt idx="106">
                  <c:v>277.72969999999998</c:v>
                </c:pt>
                <c:pt idx="107">
                  <c:v>90.383099999999999</c:v>
                </c:pt>
                <c:pt idx="108">
                  <c:v>216.38829999999999</c:v>
                </c:pt>
                <c:pt idx="109">
                  <c:v>786.46979999999996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39-4569-9C61-2B4BA94A4C16}"/>
            </c:ext>
          </c:extLst>
        </c:ser>
        <c:ser>
          <c:idx val="3"/>
          <c:order val="3"/>
          <c:tx>
            <c:strRef>
              <c:f>rutas2!$O$1</c:f>
              <c:strCache>
                <c:ptCount val="1"/>
                <c:pt idx="0">
                  <c:v>adjusted rh_lenghts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rutas2!$O$2:$O$111</c:f>
              <c:numCache>
                <c:formatCode>General</c:formatCode>
                <c:ptCount val="110"/>
                <c:pt idx="0">
                  <c:v>754.57123000000001</c:v>
                </c:pt>
                <c:pt idx="1">
                  <c:v>813.25183000000004</c:v>
                </c:pt>
                <c:pt idx="2">
                  <c:v>814.91570000000002</c:v>
                </c:pt>
                <c:pt idx="3">
                  <c:v>751.30442000000005</c:v>
                </c:pt>
                <c:pt idx="4">
                  <c:v>769.39917000000003</c:v>
                </c:pt>
                <c:pt idx="5">
                  <c:v>784.09366999999997</c:v>
                </c:pt>
                <c:pt idx="6">
                  <c:v>816.75671</c:v>
                </c:pt>
                <c:pt idx="7">
                  <c:v>807.76181999999994</c:v>
                </c:pt>
                <c:pt idx="8">
                  <c:v>729.08187999999996</c:v>
                </c:pt>
                <c:pt idx="9">
                  <c:v>841.29345000000001</c:v>
                </c:pt>
                <c:pt idx="10">
                  <c:v>837.30987000000005</c:v>
                </c:pt>
                <c:pt idx="11">
                  <c:v>776.13129000000004</c:v>
                </c:pt>
                <c:pt idx="12">
                  <c:v>793.18759</c:v>
                </c:pt>
                <c:pt idx="13">
                  <c:v>824.70173999999997</c:v>
                </c:pt>
                <c:pt idx="14">
                  <c:v>826.19357000000002</c:v>
                </c:pt>
                <c:pt idx="15">
                  <c:v>661.14490999999998</c:v>
                </c:pt>
                <c:pt idx="16">
                  <c:v>792.81298000000004</c:v>
                </c:pt>
                <c:pt idx="17">
                  <c:v>729.59289999999999</c:v>
                </c:pt>
                <c:pt idx="18">
                  <c:v>663.20636000000002</c:v>
                </c:pt>
                <c:pt idx="19">
                  <c:v>752.27193999999997</c:v>
                </c:pt>
                <c:pt idx="20">
                  <c:v>756.23039000000006</c:v>
                </c:pt>
                <c:pt idx="21">
                  <c:v>729.10351000000003</c:v>
                </c:pt>
                <c:pt idx="22">
                  <c:v>690.69590000000005</c:v>
                </c:pt>
                <c:pt idx="23">
                  <c:v>730.13903000000005</c:v>
                </c:pt>
                <c:pt idx="24">
                  <c:v>736.95387000000005</c:v>
                </c:pt>
                <c:pt idx="25">
                  <c:v>681.48937999999998</c:v>
                </c:pt>
                <c:pt idx="26">
                  <c:v>708.84124999999995</c:v>
                </c:pt>
                <c:pt idx="27">
                  <c:v>700.01910999999996</c:v>
                </c:pt>
                <c:pt idx="28">
                  <c:v>728.20672999999999</c:v>
                </c:pt>
                <c:pt idx="29">
                  <c:v>740.03764000000001</c:v>
                </c:pt>
                <c:pt idx="30">
                  <c:v>765.33222000000001</c:v>
                </c:pt>
                <c:pt idx="31">
                  <c:v>711.50296000000003</c:v>
                </c:pt>
                <c:pt idx="32">
                  <c:v>644.63274000000001</c:v>
                </c:pt>
                <c:pt idx="33">
                  <c:v>759.79764</c:v>
                </c:pt>
                <c:pt idx="34">
                  <c:v>745.18781000000001</c:v>
                </c:pt>
                <c:pt idx="35">
                  <c:v>707.20741999999996</c:v>
                </c:pt>
                <c:pt idx="36">
                  <c:v>752.01226999999994</c:v>
                </c:pt>
                <c:pt idx="37">
                  <c:v>607.38935000000004</c:v>
                </c:pt>
                <c:pt idx="38">
                  <c:v>728.68795</c:v>
                </c:pt>
                <c:pt idx="39">
                  <c:v>685.49129000000005</c:v>
                </c:pt>
                <c:pt idx="40">
                  <c:v>609.07530999999994</c:v>
                </c:pt>
                <c:pt idx="41">
                  <c:v>690.74134000000004</c:v>
                </c:pt>
                <c:pt idx="42">
                  <c:v>683.66137000000003</c:v>
                </c:pt>
                <c:pt idx="43">
                  <c:v>670.02571</c:v>
                </c:pt>
                <c:pt idx="44">
                  <c:v>760.87108000000001</c:v>
                </c:pt>
                <c:pt idx="45">
                  <c:v>748.94251999999994</c:v>
                </c:pt>
                <c:pt idx="46">
                  <c:v>786.62157000000002</c:v>
                </c:pt>
                <c:pt idx="47">
                  <c:v>756.04507000000001</c:v>
                </c:pt>
                <c:pt idx="48">
                  <c:v>752.95632999999998</c:v>
                </c:pt>
                <c:pt idx="49">
                  <c:v>755.92917</c:v>
                </c:pt>
                <c:pt idx="50">
                  <c:v>796.625</c:v>
                </c:pt>
                <c:pt idx="51">
                  <c:v>784.34938999999997</c:v>
                </c:pt>
                <c:pt idx="52">
                  <c:v>821.58893999999998</c:v>
                </c:pt>
                <c:pt idx="53">
                  <c:v>773.83272999999997</c:v>
                </c:pt>
                <c:pt idx="54">
                  <c:v>804.62464</c:v>
                </c:pt>
                <c:pt idx="55">
                  <c:v>799.75324999999998</c:v>
                </c:pt>
                <c:pt idx="56">
                  <c:v>765.06832999999995</c:v>
                </c:pt>
                <c:pt idx="57">
                  <c:v>690.62854000000004</c:v>
                </c:pt>
                <c:pt idx="58">
                  <c:v>811.03241000000003</c:v>
                </c:pt>
                <c:pt idx="59">
                  <c:v>688.33438999999998</c:v>
                </c:pt>
                <c:pt idx="60">
                  <c:v>779.01918000000001</c:v>
                </c:pt>
                <c:pt idx="61">
                  <c:v>659.42679999999996</c:v>
                </c:pt>
                <c:pt idx="62">
                  <c:v>735.25322000000006</c:v>
                </c:pt>
                <c:pt idx="63">
                  <c:v>724.01487999999995</c:v>
                </c:pt>
                <c:pt idx="64">
                  <c:v>730.73265000000004</c:v>
                </c:pt>
                <c:pt idx="65">
                  <c:v>745.12742000000003</c:v>
                </c:pt>
                <c:pt idx="66">
                  <c:v>753.02723000000003</c:v>
                </c:pt>
                <c:pt idx="67">
                  <c:v>794.58618000000001</c:v>
                </c:pt>
                <c:pt idx="68">
                  <c:v>803.28048999999999</c:v>
                </c:pt>
                <c:pt idx="69">
                  <c:v>744.49514999999997</c:v>
                </c:pt>
                <c:pt idx="70">
                  <c:v>772.59249999999997</c:v>
                </c:pt>
                <c:pt idx="71">
                  <c:v>763.82860000000005</c:v>
                </c:pt>
                <c:pt idx="72">
                  <c:v>793.57844</c:v>
                </c:pt>
                <c:pt idx="73">
                  <c:v>804.10179000000005</c:v>
                </c:pt>
                <c:pt idx="74">
                  <c:v>773.54780000000005</c:v>
                </c:pt>
                <c:pt idx="75">
                  <c:v>833.61668999999995</c:v>
                </c:pt>
                <c:pt idx="76">
                  <c:v>830.31493</c:v>
                </c:pt>
                <c:pt idx="77">
                  <c:v>707.04217000000006</c:v>
                </c:pt>
                <c:pt idx="78">
                  <c:v>811.31482000000005</c:v>
                </c:pt>
                <c:pt idx="79">
                  <c:v>773.05593999999996</c:v>
                </c:pt>
                <c:pt idx="80">
                  <c:v>818.45537999999999</c:v>
                </c:pt>
                <c:pt idx="81">
                  <c:v>667.66278999999997</c:v>
                </c:pt>
                <c:pt idx="82">
                  <c:v>794.01287000000002</c:v>
                </c:pt>
                <c:pt idx="83">
                  <c:v>663.42398000000003</c:v>
                </c:pt>
                <c:pt idx="84">
                  <c:v>752.37016000000006</c:v>
                </c:pt>
                <c:pt idx="85">
                  <c:v>751.09397000000001</c:v>
                </c:pt>
                <c:pt idx="86">
                  <c:v>743.53751999999997</c:v>
                </c:pt>
                <c:pt idx="87">
                  <c:v>730.80703000000005</c:v>
                </c:pt>
                <c:pt idx="88">
                  <c:v>585.59910000000002</c:v>
                </c:pt>
                <c:pt idx="89">
                  <c:v>561.96259999999995</c:v>
                </c:pt>
                <c:pt idx="90">
                  <c:v>596.07804999999996</c:v>
                </c:pt>
                <c:pt idx="91">
                  <c:v>556.32154000000003</c:v>
                </c:pt>
                <c:pt idx="92">
                  <c:v>573.45640000000003</c:v>
                </c:pt>
                <c:pt idx="93">
                  <c:v>578.31255999999996</c:v>
                </c:pt>
                <c:pt idx="94">
                  <c:v>599.12540999999999</c:v>
                </c:pt>
                <c:pt idx="95">
                  <c:v>600.96151999999995</c:v>
                </c:pt>
                <c:pt idx="96">
                  <c:v>624.09469000000001</c:v>
                </c:pt>
                <c:pt idx="97">
                  <c:v>582.74149999999997</c:v>
                </c:pt>
                <c:pt idx="98">
                  <c:v>621.45862</c:v>
                </c:pt>
                <c:pt idx="99">
                  <c:v>609.40119000000004</c:v>
                </c:pt>
                <c:pt idx="100">
                  <c:v>532.61275000000001</c:v>
                </c:pt>
                <c:pt idx="101">
                  <c:v>609.27976999999998</c:v>
                </c:pt>
                <c:pt idx="102">
                  <c:v>589.64651000000003</c:v>
                </c:pt>
                <c:pt idx="103">
                  <c:v>512.69399999999996</c:v>
                </c:pt>
                <c:pt idx="104">
                  <c:v>591.61996999999997</c:v>
                </c:pt>
                <c:pt idx="105">
                  <c:v>499.42574000000002</c:v>
                </c:pt>
                <c:pt idx="106">
                  <c:v>566.26011000000005</c:v>
                </c:pt>
                <c:pt idx="107">
                  <c:v>562.91056000000003</c:v>
                </c:pt>
                <c:pt idx="108">
                  <c:v>554.94973000000005</c:v>
                </c:pt>
                <c:pt idx="109">
                  <c:v>548.33023000000003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39-4569-9C61-2B4BA94A4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0805808"/>
        <c:axId val="1270806288"/>
      </c:lineChart>
      <c:catAx>
        <c:axId val="1270805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70806288"/>
        <c:crosses val="autoZero"/>
        <c:auto val="1"/>
        <c:lblAlgn val="ctr"/>
        <c:lblOffset val="100"/>
        <c:noMultiLvlLbl val="0"/>
      </c:catAx>
      <c:valAx>
        <c:axId val="127080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7080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610577</xdr:colOff>
      <xdr:row>5</xdr:row>
      <xdr:rowOff>121138</xdr:rowOff>
    </xdr:from>
    <xdr:to>
      <xdr:col>28</xdr:col>
      <xdr:colOff>85480</xdr:colOff>
      <xdr:row>39</xdr:row>
      <xdr:rowOff>24422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4E53DC-693B-53CB-CE68-F28C3FB0D4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C25B-C62A-4466-8AF3-551480FE9C9C}">
  <dimension ref="A1:P111"/>
  <sheetViews>
    <sheetView tabSelected="1" zoomScale="78" workbookViewId="0">
      <selection activeCell="AG14" sqref="AG14"/>
    </sheetView>
  </sheetViews>
  <sheetFormatPr defaultRowHeight="15" x14ac:dyDescent="0.25"/>
  <cols>
    <col min="1" max="1" width="79" customWidth="1"/>
    <col min="2" max="2" width="11.42578125" bestFit="1" customWidth="1"/>
    <col min="3" max="3" width="12.5703125" bestFit="1" customWidth="1"/>
    <col min="4" max="4" width="17" customWidth="1"/>
    <col min="5" max="5" width="12.28515625" customWidth="1"/>
    <col min="6" max="6" width="9.28515625" bestFit="1" customWidth="1"/>
    <col min="7" max="7" width="11.42578125" bestFit="1" customWidth="1"/>
    <col min="8" max="8" width="11.7109375" customWidth="1"/>
    <col min="9" max="9" width="10.28515625" bestFit="1" customWidth="1"/>
    <col min="12" max="12" width="15.5703125" customWidth="1"/>
    <col min="13" max="14" width="9.28515625" bestFit="1" customWidth="1"/>
  </cols>
  <sheetData>
    <row r="1" spans="1:16" x14ac:dyDescent="0.25">
      <c r="A1" t="s">
        <v>18</v>
      </c>
      <c r="B1" t="s">
        <v>19</v>
      </c>
      <c r="C1" t="s">
        <v>20</v>
      </c>
      <c r="D1" s="4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L1" t="s">
        <v>27</v>
      </c>
      <c r="M1" t="s">
        <v>29</v>
      </c>
      <c r="N1" t="s">
        <v>28</v>
      </c>
      <c r="O1" t="s">
        <v>30</v>
      </c>
    </row>
    <row r="2" spans="1:16" x14ac:dyDescent="0.25">
      <c r="A2" t="s">
        <v>0</v>
      </c>
      <c r="B2">
        <v>266720519</v>
      </c>
      <c r="C2">
        <v>261252855</v>
      </c>
      <c r="D2">
        <v>11008</v>
      </c>
      <c r="E2">
        <v>857</v>
      </c>
      <c r="F2">
        <v>857</v>
      </c>
      <c r="G2">
        <v>258529496</v>
      </c>
      <c r="H2">
        <v>938934</v>
      </c>
      <c r="I2">
        <v>75457123</v>
      </c>
      <c r="J2" s="1" t="s">
        <v>15</v>
      </c>
      <c r="K2" t="s">
        <v>6</v>
      </c>
      <c r="L2">
        <f>F2/1000</f>
        <v>0.85699999999999998</v>
      </c>
      <c r="M2">
        <f>G2/100000</f>
        <v>2585.2949600000002</v>
      </c>
      <c r="N2">
        <f>H2/10000</f>
        <v>93.8934</v>
      </c>
      <c r="O2">
        <f>I2/100000</f>
        <v>754.57123000000001</v>
      </c>
      <c r="P2">
        <f>LEN(A2)</f>
        <v>1283</v>
      </c>
    </row>
    <row r="3" spans="1:16" x14ac:dyDescent="0.25">
      <c r="A3" t="s">
        <v>0</v>
      </c>
      <c r="B3">
        <v>266720519</v>
      </c>
      <c r="C3">
        <v>261252855</v>
      </c>
      <c r="D3">
        <v>11008</v>
      </c>
      <c r="E3">
        <v>857</v>
      </c>
      <c r="F3">
        <v>857</v>
      </c>
      <c r="G3">
        <v>258428457</v>
      </c>
      <c r="H3">
        <v>2031642</v>
      </c>
      <c r="I3">
        <v>81325183</v>
      </c>
      <c r="J3" s="1" t="s">
        <v>16</v>
      </c>
      <c r="K3" t="s">
        <v>6</v>
      </c>
      <c r="L3">
        <f t="shared" ref="L3:L66" si="0">F3/1000</f>
        <v>0.85699999999999998</v>
      </c>
      <c r="M3">
        <f>G3/100000</f>
        <v>2584.2845699999998</v>
      </c>
      <c r="N3">
        <f t="shared" ref="N3:N66" si="1">H3/10000</f>
        <v>203.16419999999999</v>
      </c>
      <c r="O3">
        <f>I3/100000</f>
        <v>813.25183000000004</v>
      </c>
      <c r="P3">
        <f>LEN(A3)</f>
        <v>1283</v>
      </c>
    </row>
    <row r="4" spans="1:16" x14ac:dyDescent="0.25">
      <c r="A4" t="s">
        <v>0</v>
      </c>
      <c r="B4">
        <v>266720519</v>
      </c>
      <c r="C4">
        <v>261252855</v>
      </c>
      <c r="D4">
        <v>11008</v>
      </c>
      <c r="E4">
        <v>857</v>
      </c>
      <c r="F4">
        <v>857</v>
      </c>
      <c r="G4">
        <v>257488291</v>
      </c>
      <c r="H4">
        <v>653243</v>
      </c>
      <c r="I4">
        <v>81491570</v>
      </c>
      <c r="J4" s="1" t="s">
        <v>14</v>
      </c>
      <c r="K4" t="s">
        <v>6</v>
      </c>
      <c r="L4">
        <f t="shared" si="0"/>
        <v>0.85699999999999998</v>
      </c>
      <c r="M4">
        <f>G4/100000</f>
        <v>2574.8829099999998</v>
      </c>
      <c r="N4">
        <f t="shared" si="1"/>
        <v>65.324299999999994</v>
      </c>
      <c r="O4">
        <f>I4/100000</f>
        <v>814.91570000000002</v>
      </c>
      <c r="P4">
        <f>LEN(A4)</f>
        <v>1283</v>
      </c>
    </row>
    <row r="5" spans="1:16" x14ac:dyDescent="0.25">
      <c r="A5" t="s">
        <v>0</v>
      </c>
      <c r="B5">
        <v>266720519</v>
      </c>
      <c r="C5">
        <v>261252855</v>
      </c>
      <c r="D5">
        <v>11008</v>
      </c>
      <c r="E5">
        <v>857</v>
      </c>
      <c r="F5">
        <v>857</v>
      </c>
      <c r="G5">
        <v>257386083</v>
      </c>
      <c r="H5">
        <v>3185430</v>
      </c>
      <c r="I5">
        <v>75130442</v>
      </c>
      <c r="J5" s="1" t="s">
        <v>16</v>
      </c>
      <c r="K5" t="s">
        <v>7</v>
      </c>
      <c r="L5">
        <f t="shared" si="0"/>
        <v>0.85699999999999998</v>
      </c>
      <c r="M5">
        <f>G5/100000</f>
        <v>2573.8608300000001</v>
      </c>
      <c r="N5">
        <f t="shared" si="1"/>
        <v>318.54300000000001</v>
      </c>
      <c r="O5">
        <f>I5/100000</f>
        <v>751.30442000000005</v>
      </c>
      <c r="P5">
        <f>LEN(A5)</f>
        <v>1283</v>
      </c>
    </row>
    <row r="6" spans="1:16" x14ac:dyDescent="0.25">
      <c r="A6" t="s">
        <v>0</v>
      </c>
      <c r="B6">
        <v>266720519</v>
      </c>
      <c r="C6">
        <v>261252855</v>
      </c>
      <c r="D6">
        <v>11008</v>
      </c>
      <c r="E6">
        <v>857</v>
      </c>
      <c r="F6">
        <v>857</v>
      </c>
      <c r="G6">
        <v>257188437</v>
      </c>
      <c r="H6">
        <v>434748</v>
      </c>
      <c r="I6">
        <v>76939917</v>
      </c>
      <c r="J6" s="1" t="s">
        <v>15</v>
      </c>
      <c r="K6" t="s">
        <v>7</v>
      </c>
      <c r="L6">
        <f t="shared" si="0"/>
        <v>0.85699999999999998</v>
      </c>
      <c r="M6">
        <f>G6/100000</f>
        <v>2571.8843700000002</v>
      </c>
      <c r="N6">
        <f t="shared" si="1"/>
        <v>43.474800000000002</v>
      </c>
      <c r="O6">
        <f>I6/100000</f>
        <v>769.39917000000003</v>
      </c>
      <c r="P6">
        <f>LEN(A6)</f>
        <v>1283</v>
      </c>
    </row>
    <row r="7" spans="1:16" x14ac:dyDescent="0.25">
      <c r="A7" t="s">
        <v>0</v>
      </c>
      <c r="B7">
        <v>266720519</v>
      </c>
      <c r="C7">
        <v>261252855</v>
      </c>
      <c r="D7">
        <v>11008</v>
      </c>
      <c r="E7">
        <v>857</v>
      </c>
      <c r="F7">
        <v>857</v>
      </c>
      <c r="G7">
        <v>257167716</v>
      </c>
      <c r="H7">
        <v>588657</v>
      </c>
      <c r="I7">
        <v>78409367</v>
      </c>
      <c r="J7" s="1" t="s">
        <v>10</v>
      </c>
      <c r="K7" t="s">
        <v>6</v>
      </c>
      <c r="L7">
        <f t="shared" si="0"/>
        <v>0.85699999999999998</v>
      </c>
      <c r="M7">
        <f>G7/100000</f>
        <v>2571.6771600000002</v>
      </c>
      <c r="N7">
        <f t="shared" si="1"/>
        <v>58.865699999999997</v>
      </c>
      <c r="O7">
        <f>I7/100000</f>
        <v>784.09366999999997</v>
      </c>
      <c r="P7">
        <f>LEN(A7)</f>
        <v>1283</v>
      </c>
    </row>
    <row r="8" spans="1:16" x14ac:dyDescent="0.25">
      <c r="A8" t="s">
        <v>0</v>
      </c>
      <c r="B8">
        <v>266720519</v>
      </c>
      <c r="C8">
        <v>261252855</v>
      </c>
      <c r="D8">
        <v>11008</v>
      </c>
      <c r="E8">
        <v>857</v>
      </c>
      <c r="F8">
        <v>920</v>
      </c>
      <c r="G8">
        <v>256550238</v>
      </c>
      <c r="H8">
        <v>1809282</v>
      </c>
      <c r="I8">
        <v>81675671</v>
      </c>
      <c r="J8" s="1" t="s">
        <v>12</v>
      </c>
      <c r="K8" t="s">
        <v>6</v>
      </c>
      <c r="L8">
        <f t="shared" si="0"/>
        <v>0.92</v>
      </c>
      <c r="M8">
        <f>G8/100000</f>
        <v>2565.5023799999999</v>
      </c>
      <c r="N8">
        <f t="shared" si="1"/>
        <v>180.9282</v>
      </c>
      <c r="O8">
        <f>I8/100000</f>
        <v>816.75671</v>
      </c>
      <c r="P8">
        <f>LEN(A8)</f>
        <v>1283</v>
      </c>
    </row>
    <row r="9" spans="1:16" x14ac:dyDescent="0.25">
      <c r="A9" t="s">
        <v>0</v>
      </c>
      <c r="B9">
        <v>266720519</v>
      </c>
      <c r="C9">
        <v>261252855</v>
      </c>
      <c r="D9">
        <v>11008</v>
      </c>
      <c r="E9">
        <v>857</v>
      </c>
      <c r="F9">
        <v>5349</v>
      </c>
      <c r="G9">
        <v>256533597</v>
      </c>
      <c r="H9">
        <v>888822</v>
      </c>
      <c r="I9">
        <v>80776182</v>
      </c>
      <c r="J9" s="1" t="s">
        <v>13</v>
      </c>
      <c r="K9" t="s">
        <v>6</v>
      </c>
      <c r="L9">
        <f t="shared" si="0"/>
        <v>5.3490000000000002</v>
      </c>
      <c r="M9">
        <f>G9/100000</f>
        <v>2565.3359700000001</v>
      </c>
      <c r="N9">
        <f t="shared" si="1"/>
        <v>88.882199999999997</v>
      </c>
      <c r="O9">
        <f>I9/100000</f>
        <v>807.76181999999994</v>
      </c>
      <c r="P9">
        <f>LEN(A9)</f>
        <v>1283</v>
      </c>
    </row>
    <row r="10" spans="1:16" s="2" customFormat="1" x14ac:dyDescent="0.25">
      <c r="A10" s="2" t="s">
        <v>0</v>
      </c>
      <c r="B10" s="2">
        <v>266720519</v>
      </c>
      <c r="C10" s="2">
        <v>261252855</v>
      </c>
      <c r="D10" s="2">
        <v>11008</v>
      </c>
      <c r="E10" s="2">
        <v>857</v>
      </c>
      <c r="F10" s="2">
        <v>857</v>
      </c>
      <c r="G10" s="2">
        <v>256227550</v>
      </c>
      <c r="H10" s="2">
        <v>2400985</v>
      </c>
      <c r="I10" s="2">
        <v>72908188</v>
      </c>
      <c r="J10" s="3" t="s">
        <v>9</v>
      </c>
      <c r="K10" s="2" t="s">
        <v>6</v>
      </c>
      <c r="L10">
        <f t="shared" si="0"/>
        <v>0.85699999999999998</v>
      </c>
      <c r="M10" s="2">
        <f>G10/100000</f>
        <v>2562.2755000000002</v>
      </c>
      <c r="N10">
        <f t="shared" si="1"/>
        <v>240.0985</v>
      </c>
      <c r="O10" s="2">
        <f>I10/100000</f>
        <v>729.08187999999996</v>
      </c>
      <c r="P10">
        <f>LEN(A10)</f>
        <v>1283</v>
      </c>
    </row>
    <row r="11" spans="1:16" x14ac:dyDescent="0.25">
      <c r="A11" t="s">
        <v>0</v>
      </c>
      <c r="B11">
        <v>266720519</v>
      </c>
      <c r="C11">
        <v>261252855</v>
      </c>
      <c r="D11">
        <v>11008</v>
      </c>
      <c r="E11">
        <v>857</v>
      </c>
      <c r="F11">
        <v>857</v>
      </c>
      <c r="G11">
        <v>256174640</v>
      </c>
      <c r="H11">
        <v>541284</v>
      </c>
      <c r="I11">
        <v>84129345</v>
      </c>
      <c r="J11" s="1" t="s">
        <v>13</v>
      </c>
      <c r="K11" t="s">
        <v>7</v>
      </c>
      <c r="L11">
        <f t="shared" si="0"/>
        <v>0.85699999999999998</v>
      </c>
      <c r="M11">
        <f>G11/100000</f>
        <v>2561.7464</v>
      </c>
      <c r="N11">
        <f t="shared" si="1"/>
        <v>54.128399999999999</v>
      </c>
      <c r="O11">
        <f>I11/100000</f>
        <v>841.29345000000001</v>
      </c>
      <c r="P11">
        <f>LEN(A11)</f>
        <v>1283</v>
      </c>
    </row>
    <row r="12" spans="1:16" x14ac:dyDescent="0.25">
      <c r="A12" t="s">
        <v>0</v>
      </c>
      <c r="B12">
        <v>266720519</v>
      </c>
      <c r="C12">
        <v>261252855</v>
      </c>
      <c r="D12">
        <v>11008</v>
      </c>
      <c r="E12">
        <v>857</v>
      </c>
      <c r="F12">
        <v>234798</v>
      </c>
      <c r="G12">
        <v>256170864</v>
      </c>
      <c r="H12">
        <v>2696809</v>
      </c>
      <c r="I12">
        <v>83730987</v>
      </c>
      <c r="J12" s="1" t="s">
        <v>14</v>
      </c>
      <c r="K12" t="s">
        <v>7</v>
      </c>
      <c r="L12">
        <f t="shared" si="0"/>
        <v>234.798</v>
      </c>
      <c r="M12">
        <f>G12/100000</f>
        <v>2561.7086399999998</v>
      </c>
      <c r="N12">
        <f t="shared" si="1"/>
        <v>269.68090000000001</v>
      </c>
      <c r="O12">
        <f>I12/100000</f>
        <v>837.30987000000005</v>
      </c>
      <c r="P12">
        <f>LEN(A12)</f>
        <v>1283</v>
      </c>
    </row>
    <row r="13" spans="1:16" x14ac:dyDescent="0.25">
      <c r="A13" t="s">
        <v>0</v>
      </c>
      <c r="B13">
        <v>266720519</v>
      </c>
      <c r="C13">
        <v>261252855</v>
      </c>
      <c r="D13">
        <v>11008</v>
      </c>
      <c r="E13">
        <v>857</v>
      </c>
      <c r="F13">
        <v>36729</v>
      </c>
      <c r="G13">
        <v>256011073</v>
      </c>
      <c r="H13">
        <v>12269061</v>
      </c>
      <c r="I13">
        <v>77613129</v>
      </c>
      <c r="J13" s="1" t="s">
        <v>17</v>
      </c>
      <c r="K13" t="s">
        <v>6</v>
      </c>
      <c r="L13">
        <f t="shared" si="0"/>
        <v>36.728999999999999</v>
      </c>
      <c r="M13">
        <f>G13/100000</f>
        <v>2560.1107299999999</v>
      </c>
      <c r="N13">
        <f t="shared" si="1"/>
        <v>1226.9060999999999</v>
      </c>
      <c r="O13">
        <f>I13/100000</f>
        <v>776.13129000000004</v>
      </c>
      <c r="P13">
        <f>LEN(A13)</f>
        <v>1283</v>
      </c>
    </row>
    <row r="14" spans="1:16" x14ac:dyDescent="0.25">
      <c r="A14" t="s">
        <v>0</v>
      </c>
      <c r="B14">
        <v>266720519</v>
      </c>
      <c r="C14">
        <v>261252855</v>
      </c>
      <c r="D14">
        <v>11008</v>
      </c>
      <c r="E14">
        <v>857</v>
      </c>
      <c r="F14">
        <v>70312</v>
      </c>
      <c r="G14">
        <v>255951812</v>
      </c>
      <c r="H14">
        <v>407264</v>
      </c>
      <c r="I14">
        <v>79318759</v>
      </c>
      <c r="J14" s="1" t="s">
        <v>11</v>
      </c>
      <c r="K14" t="s">
        <v>6</v>
      </c>
      <c r="L14">
        <f t="shared" si="0"/>
        <v>70.311999999999998</v>
      </c>
      <c r="M14">
        <f>G14/100000</f>
        <v>2559.5181200000002</v>
      </c>
      <c r="N14">
        <f t="shared" si="1"/>
        <v>40.726399999999998</v>
      </c>
      <c r="O14">
        <f>I14/100000</f>
        <v>793.18759</v>
      </c>
      <c r="P14">
        <f>LEN(A14)</f>
        <v>1283</v>
      </c>
    </row>
    <row r="15" spans="1:16" x14ac:dyDescent="0.25">
      <c r="A15" t="s">
        <v>0</v>
      </c>
      <c r="B15">
        <v>266720519</v>
      </c>
      <c r="C15">
        <v>261252855</v>
      </c>
      <c r="D15">
        <v>11008</v>
      </c>
      <c r="E15">
        <v>857</v>
      </c>
      <c r="F15">
        <v>857</v>
      </c>
      <c r="G15">
        <v>255768754</v>
      </c>
      <c r="H15">
        <v>770066</v>
      </c>
      <c r="I15">
        <v>82470174</v>
      </c>
      <c r="J15" s="1" t="s">
        <v>10</v>
      </c>
      <c r="K15" t="s">
        <v>7</v>
      </c>
      <c r="L15">
        <f t="shared" si="0"/>
        <v>0.85699999999999998</v>
      </c>
      <c r="M15">
        <f>G15/100000</f>
        <v>2557.6875399999999</v>
      </c>
      <c r="N15">
        <f t="shared" si="1"/>
        <v>77.006600000000006</v>
      </c>
      <c r="O15">
        <f>I15/100000</f>
        <v>824.70173999999997</v>
      </c>
      <c r="P15">
        <f>LEN(A15)</f>
        <v>1283</v>
      </c>
    </row>
    <row r="16" spans="1:16" x14ac:dyDescent="0.25">
      <c r="A16" t="s">
        <v>0</v>
      </c>
      <c r="B16">
        <v>266720519</v>
      </c>
      <c r="C16">
        <v>261252855</v>
      </c>
      <c r="D16">
        <v>11008</v>
      </c>
      <c r="E16">
        <v>857</v>
      </c>
      <c r="F16">
        <v>6319</v>
      </c>
      <c r="G16">
        <v>255761556</v>
      </c>
      <c r="H16">
        <v>1151108</v>
      </c>
      <c r="I16">
        <v>82619357</v>
      </c>
      <c r="J16" s="1" t="s">
        <v>11</v>
      </c>
      <c r="K16" t="s">
        <v>7</v>
      </c>
      <c r="L16">
        <f t="shared" si="0"/>
        <v>6.319</v>
      </c>
      <c r="M16">
        <f>G16/100000</f>
        <v>2557.6155600000002</v>
      </c>
      <c r="N16">
        <f t="shared" si="1"/>
        <v>115.1108</v>
      </c>
      <c r="O16">
        <f>I16/100000</f>
        <v>826.19357000000002</v>
      </c>
      <c r="P16">
        <f>LEN(A16)</f>
        <v>1283</v>
      </c>
    </row>
    <row r="17" spans="1:16" x14ac:dyDescent="0.25">
      <c r="A17" t="s">
        <v>0</v>
      </c>
      <c r="B17">
        <v>266720519</v>
      </c>
      <c r="C17">
        <v>261252855</v>
      </c>
      <c r="D17">
        <v>11008</v>
      </c>
      <c r="E17">
        <v>857</v>
      </c>
      <c r="F17">
        <v>857</v>
      </c>
      <c r="G17">
        <v>255732281</v>
      </c>
      <c r="H17">
        <v>7608465</v>
      </c>
      <c r="I17">
        <v>66114491</v>
      </c>
      <c r="J17" s="1" t="s">
        <v>8</v>
      </c>
      <c r="K17" t="s">
        <v>6</v>
      </c>
      <c r="L17">
        <f t="shared" si="0"/>
        <v>0.85699999999999998</v>
      </c>
      <c r="M17">
        <f>G17/100000</f>
        <v>2557.3228100000001</v>
      </c>
      <c r="N17">
        <f t="shared" si="1"/>
        <v>760.84649999999999</v>
      </c>
      <c r="O17">
        <f>I17/100000</f>
        <v>661.14490999999998</v>
      </c>
      <c r="P17">
        <f>LEN(A17)</f>
        <v>1283</v>
      </c>
    </row>
    <row r="18" spans="1:16" x14ac:dyDescent="0.25">
      <c r="A18" t="s">
        <v>0</v>
      </c>
      <c r="B18">
        <v>266720519</v>
      </c>
      <c r="C18">
        <v>261252855</v>
      </c>
      <c r="D18">
        <v>11008</v>
      </c>
      <c r="E18">
        <v>857</v>
      </c>
      <c r="F18">
        <v>953</v>
      </c>
      <c r="G18">
        <v>255381198</v>
      </c>
      <c r="H18">
        <v>989298</v>
      </c>
      <c r="I18">
        <v>79281298</v>
      </c>
      <c r="J18" s="1" t="s">
        <v>12</v>
      </c>
      <c r="K18" t="s">
        <v>7</v>
      </c>
      <c r="L18">
        <f t="shared" si="0"/>
        <v>0.95299999999999996</v>
      </c>
      <c r="M18">
        <f>G18/100000</f>
        <v>2553.8119799999999</v>
      </c>
      <c r="N18">
        <f t="shared" si="1"/>
        <v>98.9298</v>
      </c>
      <c r="O18">
        <f>I18/100000</f>
        <v>792.81298000000004</v>
      </c>
      <c r="P18">
        <f>LEN(A18)</f>
        <v>1283</v>
      </c>
    </row>
    <row r="19" spans="1:16" x14ac:dyDescent="0.25">
      <c r="A19" t="s">
        <v>0</v>
      </c>
      <c r="B19">
        <v>266720519</v>
      </c>
      <c r="C19">
        <v>261252855</v>
      </c>
      <c r="D19">
        <v>11008</v>
      </c>
      <c r="E19">
        <v>857</v>
      </c>
      <c r="F19">
        <v>857</v>
      </c>
      <c r="G19">
        <v>254660227</v>
      </c>
      <c r="H19">
        <v>4164999</v>
      </c>
      <c r="I19">
        <v>72959290</v>
      </c>
      <c r="J19" s="1" t="s">
        <v>5</v>
      </c>
      <c r="K19" t="s">
        <v>7</v>
      </c>
      <c r="L19">
        <f t="shared" si="0"/>
        <v>0.85699999999999998</v>
      </c>
      <c r="M19">
        <f>G19/100000</f>
        <v>2546.6022699999999</v>
      </c>
      <c r="N19">
        <f t="shared" si="1"/>
        <v>416.49990000000003</v>
      </c>
      <c r="O19">
        <f>I19/100000</f>
        <v>729.59289999999999</v>
      </c>
      <c r="P19">
        <f>LEN(A19)</f>
        <v>1283</v>
      </c>
    </row>
    <row r="20" spans="1:16" x14ac:dyDescent="0.25">
      <c r="A20" t="s">
        <v>0</v>
      </c>
      <c r="B20">
        <v>266720519</v>
      </c>
      <c r="C20">
        <v>261252855</v>
      </c>
      <c r="D20">
        <v>11008</v>
      </c>
      <c r="E20">
        <v>857</v>
      </c>
      <c r="F20">
        <v>857</v>
      </c>
      <c r="G20">
        <v>254390804</v>
      </c>
      <c r="H20">
        <v>6188351</v>
      </c>
      <c r="I20">
        <v>66320636</v>
      </c>
      <c r="J20" s="1" t="s">
        <v>5</v>
      </c>
      <c r="K20" t="s">
        <v>6</v>
      </c>
      <c r="L20">
        <f t="shared" si="0"/>
        <v>0.85699999999999998</v>
      </c>
      <c r="M20">
        <f>G20/100000</f>
        <v>2543.9080399999998</v>
      </c>
      <c r="N20">
        <f t="shared" si="1"/>
        <v>618.83510000000001</v>
      </c>
      <c r="O20">
        <f>I20/100000</f>
        <v>663.20636000000002</v>
      </c>
      <c r="P20">
        <f>LEN(A20)</f>
        <v>1283</v>
      </c>
    </row>
    <row r="21" spans="1:16" x14ac:dyDescent="0.25">
      <c r="A21" t="s">
        <v>0</v>
      </c>
      <c r="B21">
        <v>266720519</v>
      </c>
      <c r="C21">
        <v>261252855</v>
      </c>
      <c r="D21">
        <v>11008</v>
      </c>
      <c r="E21">
        <v>857</v>
      </c>
      <c r="F21">
        <v>857</v>
      </c>
      <c r="G21">
        <v>253911490</v>
      </c>
      <c r="H21">
        <v>1143162</v>
      </c>
      <c r="I21">
        <v>75227194</v>
      </c>
      <c r="J21" s="1" t="s">
        <v>9</v>
      </c>
      <c r="K21" t="s">
        <v>7</v>
      </c>
      <c r="L21">
        <f t="shared" si="0"/>
        <v>0.85699999999999998</v>
      </c>
      <c r="M21">
        <f>G21/100000</f>
        <v>2539.1149</v>
      </c>
      <c r="N21">
        <f t="shared" si="1"/>
        <v>114.31619999999999</v>
      </c>
      <c r="O21">
        <f>I21/100000</f>
        <v>752.27193999999997</v>
      </c>
      <c r="P21">
        <f>LEN(A21)</f>
        <v>1283</v>
      </c>
    </row>
    <row r="22" spans="1:16" x14ac:dyDescent="0.25">
      <c r="A22" t="s">
        <v>0</v>
      </c>
      <c r="B22">
        <v>266720519</v>
      </c>
      <c r="C22">
        <v>261252855</v>
      </c>
      <c r="D22">
        <v>11008</v>
      </c>
      <c r="E22">
        <v>857</v>
      </c>
      <c r="F22">
        <v>857</v>
      </c>
      <c r="G22">
        <v>253364779</v>
      </c>
      <c r="H22">
        <v>2914740</v>
      </c>
      <c r="I22">
        <v>75623039</v>
      </c>
      <c r="J22" s="1" t="s">
        <v>8</v>
      </c>
      <c r="K22" t="s">
        <v>7</v>
      </c>
      <c r="L22">
        <f t="shared" si="0"/>
        <v>0.85699999999999998</v>
      </c>
      <c r="M22">
        <f>G22/100000</f>
        <v>2533.64779</v>
      </c>
      <c r="N22">
        <f t="shared" si="1"/>
        <v>291.47399999999999</v>
      </c>
      <c r="O22">
        <f>I22/100000</f>
        <v>756.23039000000006</v>
      </c>
      <c r="P22">
        <f>LEN(A22)</f>
        <v>1283</v>
      </c>
    </row>
    <row r="23" spans="1:16" x14ac:dyDescent="0.25">
      <c r="A23" t="s">
        <v>0</v>
      </c>
      <c r="B23">
        <v>266720519</v>
      </c>
      <c r="C23">
        <v>261252855</v>
      </c>
      <c r="D23">
        <v>11008</v>
      </c>
      <c r="E23">
        <v>857</v>
      </c>
      <c r="F23">
        <v>857</v>
      </c>
      <c r="G23">
        <v>252321866</v>
      </c>
      <c r="H23">
        <v>10770445</v>
      </c>
      <c r="I23">
        <v>72910351</v>
      </c>
      <c r="J23" s="1" t="s">
        <v>17</v>
      </c>
      <c r="K23" t="s">
        <v>7</v>
      </c>
      <c r="L23">
        <f t="shared" si="0"/>
        <v>0.85699999999999998</v>
      </c>
      <c r="N23">
        <f t="shared" si="1"/>
        <v>1077.0445</v>
      </c>
      <c r="O23">
        <f>I23/100000</f>
        <v>729.10351000000003</v>
      </c>
      <c r="P23">
        <f>LEN(A23)</f>
        <v>1283</v>
      </c>
    </row>
    <row r="24" spans="1:16" x14ac:dyDescent="0.25">
      <c r="A24" t="s">
        <v>3</v>
      </c>
      <c r="B24">
        <v>261270039</v>
      </c>
      <c r="C24">
        <v>1314248313</v>
      </c>
      <c r="D24">
        <v>11384</v>
      </c>
      <c r="E24">
        <v>780</v>
      </c>
      <c r="F24">
        <v>780</v>
      </c>
      <c r="G24">
        <v>235036619</v>
      </c>
      <c r="H24">
        <v>1085375</v>
      </c>
      <c r="I24">
        <v>69069590</v>
      </c>
      <c r="J24" s="1" t="s">
        <v>15</v>
      </c>
      <c r="K24" t="s">
        <v>6</v>
      </c>
      <c r="L24">
        <f t="shared" si="0"/>
        <v>0.78</v>
      </c>
      <c r="M24">
        <f>G24/100000</f>
        <v>2350.3661900000002</v>
      </c>
      <c r="N24">
        <f t="shared" si="1"/>
        <v>108.53749999999999</v>
      </c>
      <c r="O24">
        <f>I24/100000</f>
        <v>690.69590000000005</v>
      </c>
      <c r="P24">
        <f>LEN(A24)</f>
        <v>801</v>
      </c>
    </row>
    <row r="25" spans="1:16" x14ac:dyDescent="0.25">
      <c r="A25" t="s">
        <v>3</v>
      </c>
      <c r="B25">
        <v>261270039</v>
      </c>
      <c r="C25">
        <v>1314248313</v>
      </c>
      <c r="D25">
        <v>11384</v>
      </c>
      <c r="E25">
        <v>780</v>
      </c>
      <c r="F25">
        <v>780</v>
      </c>
      <c r="G25">
        <v>235036467</v>
      </c>
      <c r="H25">
        <v>1236390</v>
      </c>
      <c r="I25">
        <v>73013903</v>
      </c>
      <c r="J25" s="1" t="s">
        <v>16</v>
      </c>
      <c r="K25" t="s">
        <v>6</v>
      </c>
      <c r="L25">
        <f t="shared" si="0"/>
        <v>0.78</v>
      </c>
      <c r="M25">
        <f>G25/100000</f>
        <v>2350.3646699999999</v>
      </c>
      <c r="N25">
        <f t="shared" si="1"/>
        <v>123.639</v>
      </c>
      <c r="O25">
        <f>I25/100000</f>
        <v>730.13903000000005</v>
      </c>
      <c r="P25">
        <f>LEN(A25)</f>
        <v>801</v>
      </c>
    </row>
    <row r="26" spans="1:16" x14ac:dyDescent="0.25">
      <c r="A26" t="s">
        <v>3</v>
      </c>
      <c r="B26">
        <v>261270039</v>
      </c>
      <c r="C26">
        <v>1314248313</v>
      </c>
      <c r="D26">
        <v>11384</v>
      </c>
      <c r="E26">
        <v>780</v>
      </c>
      <c r="F26">
        <v>780</v>
      </c>
      <c r="G26">
        <v>234153169</v>
      </c>
      <c r="H26">
        <v>553614</v>
      </c>
      <c r="I26">
        <v>73695387</v>
      </c>
      <c r="J26" s="1" t="s">
        <v>14</v>
      </c>
      <c r="K26" t="s">
        <v>6</v>
      </c>
      <c r="L26">
        <f t="shared" si="0"/>
        <v>0.78</v>
      </c>
      <c r="M26">
        <f>G26/100000</f>
        <v>2341.5316899999998</v>
      </c>
      <c r="N26">
        <f t="shared" si="1"/>
        <v>55.361400000000003</v>
      </c>
      <c r="O26">
        <f>I26/100000</f>
        <v>736.95387000000005</v>
      </c>
      <c r="P26">
        <f>LEN(A26)</f>
        <v>801</v>
      </c>
    </row>
    <row r="27" spans="1:16" x14ac:dyDescent="0.25">
      <c r="A27" t="s">
        <v>3</v>
      </c>
      <c r="B27">
        <v>261270039</v>
      </c>
      <c r="C27">
        <v>1314248313</v>
      </c>
      <c r="D27">
        <v>11384</v>
      </c>
      <c r="E27">
        <v>780</v>
      </c>
      <c r="F27">
        <v>780</v>
      </c>
      <c r="G27">
        <v>234033338</v>
      </c>
      <c r="H27">
        <v>2509989</v>
      </c>
      <c r="I27">
        <v>68148938</v>
      </c>
      <c r="J27" s="1" t="s">
        <v>16</v>
      </c>
      <c r="K27" t="s">
        <v>7</v>
      </c>
      <c r="L27">
        <f t="shared" si="0"/>
        <v>0.78</v>
      </c>
      <c r="M27">
        <f>G27/100000</f>
        <v>2340.33338</v>
      </c>
      <c r="N27">
        <f t="shared" si="1"/>
        <v>250.99889999999999</v>
      </c>
      <c r="O27">
        <f>I27/100000</f>
        <v>681.48937999999998</v>
      </c>
      <c r="P27">
        <f>LEN(A27)</f>
        <v>801</v>
      </c>
    </row>
    <row r="28" spans="1:16" x14ac:dyDescent="0.25">
      <c r="A28" t="s">
        <v>3</v>
      </c>
      <c r="B28">
        <v>261270039</v>
      </c>
      <c r="C28">
        <v>1314248313</v>
      </c>
      <c r="D28">
        <v>11384</v>
      </c>
      <c r="E28">
        <v>780</v>
      </c>
      <c r="F28">
        <v>872</v>
      </c>
      <c r="G28">
        <v>233982552</v>
      </c>
      <c r="H28">
        <v>211185</v>
      </c>
      <c r="I28">
        <v>70884125</v>
      </c>
      <c r="J28" s="1" t="s">
        <v>10</v>
      </c>
      <c r="K28" t="s">
        <v>6</v>
      </c>
      <c r="L28">
        <f t="shared" si="0"/>
        <v>0.872</v>
      </c>
      <c r="M28">
        <f>G28/100000</f>
        <v>2339.8255199999999</v>
      </c>
      <c r="N28">
        <f t="shared" si="1"/>
        <v>21.118500000000001</v>
      </c>
      <c r="O28">
        <f>I28/100000</f>
        <v>708.84124999999995</v>
      </c>
      <c r="P28">
        <f>LEN(A28)</f>
        <v>801</v>
      </c>
    </row>
    <row r="29" spans="1:16" x14ac:dyDescent="0.25">
      <c r="A29" t="s">
        <v>3</v>
      </c>
      <c r="B29">
        <v>261270039</v>
      </c>
      <c r="C29">
        <v>1314248313</v>
      </c>
      <c r="D29">
        <v>11384</v>
      </c>
      <c r="E29">
        <v>780</v>
      </c>
      <c r="F29">
        <v>780</v>
      </c>
      <c r="G29">
        <v>233896393</v>
      </c>
      <c r="H29">
        <v>335654</v>
      </c>
      <c r="I29">
        <v>70001911</v>
      </c>
      <c r="J29" s="1" t="s">
        <v>15</v>
      </c>
      <c r="K29" t="s">
        <v>7</v>
      </c>
      <c r="L29">
        <f t="shared" si="0"/>
        <v>0.78</v>
      </c>
      <c r="M29">
        <f>G29/100000</f>
        <v>2338.9639299999999</v>
      </c>
      <c r="N29">
        <f t="shared" si="1"/>
        <v>33.565399999999997</v>
      </c>
      <c r="O29">
        <f>I29/100000</f>
        <v>700.01910999999996</v>
      </c>
      <c r="P29">
        <f>LEN(A29)</f>
        <v>801</v>
      </c>
    </row>
    <row r="30" spans="1:16" x14ac:dyDescent="0.25">
      <c r="A30" t="s">
        <v>3</v>
      </c>
      <c r="B30">
        <v>261270039</v>
      </c>
      <c r="C30">
        <v>1314248313</v>
      </c>
      <c r="D30">
        <v>11384</v>
      </c>
      <c r="E30">
        <v>780</v>
      </c>
      <c r="F30">
        <v>8370</v>
      </c>
      <c r="G30">
        <v>233334836</v>
      </c>
      <c r="H30">
        <v>663773</v>
      </c>
      <c r="I30">
        <v>72820673</v>
      </c>
      <c r="J30" s="1" t="s">
        <v>13</v>
      </c>
      <c r="K30" t="s">
        <v>6</v>
      </c>
      <c r="L30">
        <f t="shared" si="0"/>
        <v>8.3699999999999992</v>
      </c>
      <c r="M30">
        <f>G30/100000</f>
        <v>2333.34836</v>
      </c>
      <c r="N30">
        <f t="shared" si="1"/>
        <v>66.377300000000005</v>
      </c>
      <c r="O30">
        <f>I30/100000</f>
        <v>728.20672999999999</v>
      </c>
      <c r="P30">
        <f>LEN(A30)</f>
        <v>801</v>
      </c>
    </row>
    <row r="31" spans="1:16" x14ac:dyDescent="0.25">
      <c r="A31" t="s">
        <v>3</v>
      </c>
      <c r="B31">
        <v>261270039</v>
      </c>
      <c r="C31">
        <v>1314248313</v>
      </c>
      <c r="D31">
        <v>11384</v>
      </c>
      <c r="E31">
        <v>780</v>
      </c>
      <c r="F31">
        <v>790</v>
      </c>
      <c r="G31">
        <v>233328576</v>
      </c>
      <c r="H31">
        <v>1472276</v>
      </c>
      <c r="I31">
        <v>74003764</v>
      </c>
      <c r="J31" s="1" t="s">
        <v>12</v>
      </c>
      <c r="K31" t="s">
        <v>6</v>
      </c>
      <c r="L31">
        <f t="shared" si="0"/>
        <v>0.79</v>
      </c>
      <c r="M31">
        <f>G31/100000</f>
        <v>2333.2857600000002</v>
      </c>
      <c r="N31">
        <f t="shared" si="1"/>
        <v>147.2276</v>
      </c>
      <c r="O31">
        <f>I31/100000</f>
        <v>740.03764000000001</v>
      </c>
      <c r="P31">
        <f>LEN(A31)</f>
        <v>801</v>
      </c>
    </row>
    <row r="32" spans="1:16" x14ac:dyDescent="0.25">
      <c r="A32" t="s">
        <v>3</v>
      </c>
      <c r="B32">
        <v>261270039</v>
      </c>
      <c r="C32">
        <v>1314248313</v>
      </c>
      <c r="D32">
        <v>11384</v>
      </c>
      <c r="E32">
        <v>780</v>
      </c>
      <c r="F32">
        <v>780</v>
      </c>
      <c r="G32">
        <v>233004183</v>
      </c>
      <c r="H32">
        <v>287662</v>
      </c>
      <c r="I32">
        <v>76533222</v>
      </c>
      <c r="J32" s="1" t="s">
        <v>13</v>
      </c>
      <c r="K32" t="s">
        <v>7</v>
      </c>
      <c r="L32">
        <f t="shared" si="0"/>
        <v>0.78</v>
      </c>
      <c r="M32">
        <f>G32/100000</f>
        <v>2330.0418300000001</v>
      </c>
      <c r="N32">
        <f t="shared" si="1"/>
        <v>28.766200000000001</v>
      </c>
      <c r="O32">
        <f>I32/100000</f>
        <v>765.33222000000001</v>
      </c>
      <c r="P32">
        <f>LEN(A32)</f>
        <v>801</v>
      </c>
    </row>
    <row r="33" spans="1:16" x14ac:dyDescent="0.25">
      <c r="A33" t="s">
        <v>3</v>
      </c>
      <c r="B33">
        <v>261270039</v>
      </c>
      <c r="C33">
        <v>1314248313</v>
      </c>
      <c r="D33">
        <v>11384</v>
      </c>
      <c r="E33">
        <v>780</v>
      </c>
      <c r="F33">
        <v>76600</v>
      </c>
      <c r="G33">
        <v>232960038</v>
      </c>
      <c r="H33">
        <v>447230</v>
      </c>
      <c r="I33">
        <v>71150296</v>
      </c>
      <c r="J33" s="1" t="s">
        <v>11</v>
      </c>
      <c r="K33" t="s">
        <v>6</v>
      </c>
      <c r="L33">
        <f t="shared" si="0"/>
        <v>76.599999999999994</v>
      </c>
      <c r="M33">
        <f>G33/100000</f>
        <v>2329.6003799999999</v>
      </c>
      <c r="N33">
        <f t="shared" si="1"/>
        <v>44.722999999999999</v>
      </c>
      <c r="O33">
        <f>I33/100000</f>
        <v>711.50296000000003</v>
      </c>
      <c r="P33">
        <f>LEN(A33)</f>
        <v>801</v>
      </c>
    </row>
    <row r="34" spans="1:16" x14ac:dyDescent="0.25">
      <c r="A34" t="s">
        <v>3</v>
      </c>
      <c r="B34">
        <v>261270039</v>
      </c>
      <c r="C34">
        <v>1314248313</v>
      </c>
      <c r="D34">
        <v>11384</v>
      </c>
      <c r="E34">
        <v>780</v>
      </c>
      <c r="F34">
        <v>780</v>
      </c>
      <c r="G34">
        <v>232935188</v>
      </c>
      <c r="H34">
        <v>2058860</v>
      </c>
      <c r="I34">
        <v>64463274</v>
      </c>
      <c r="J34" s="1" t="s">
        <v>9</v>
      </c>
      <c r="K34" t="s">
        <v>6</v>
      </c>
      <c r="L34">
        <f t="shared" si="0"/>
        <v>0.78</v>
      </c>
      <c r="M34">
        <f>G34/100000</f>
        <v>2329.3518800000002</v>
      </c>
      <c r="N34">
        <f t="shared" si="1"/>
        <v>205.886</v>
      </c>
      <c r="O34">
        <f>I34/100000</f>
        <v>644.63274000000001</v>
      </c>
      <c r="P34">
        <f>LEN(A34)</f>
        <v>801</v>
      </c>
    </row>
    <row r="35" spans="1:16" s="2" customFormat="1" x14ac:dyDescent="0.25">
      <c r="A35" t="s">
        <v>3</v>
      </c>
      <c r="B35">
        <v>261270039</v>
      </c>
      <c r="C35">
        <v>1314248313</v>
      </c>
      <c r="D35">
        <v>11384</v>
      </c>
      <c r="E35">
        <v>780</v>
      </c>
      <c r="F35">
        <v>36299</v>
      </c>
      <c r="G35">
        <v>232903998</v>
      </c>
      <c r="H35">
        <v>2557566</v>
      </c>
      <c r="I35">
        <v>75979764</v>
      </c>
      <c r="J35" s="1" t="s">
        <v>14</v>
      </c>
      <c r="K35" t="s">
        <v>7</v>
      </c>
      <c r="L35">
        <f t="shared" si="0"/>
        <v>36.298999999999999</v>
      </c>
      <c r="M35">
        <f>G35/100000</f>
        <v>2329.03998</v>
      </c>
      <c r="N35">
        <f t="shared" si="1"/>
        <v>255.75659999999999</v>
      </c>
      <c r="O35">
        <f>I35/100000</f>
        <v>759.79764</v>
      </c>
      <c r="P35">
        <f>LEN(A35)</f>
        <v>801</v>
      </c>
    </row>
    <row r="36" spans="1:16" x14ac:dyDescent="0.25">
      <c r="A36" t="s">
        <v>3</v>
      </c>
      <c r="B36">
        <v>261270039</v>
      </c>
      <c r="C36">
        <v>1314248313</v>
      </c>
      <c r="D36">
        <v>11384</v>
      </c>
      <c r="E36">
        <v>780</v>
      </c>
      <c r="F36">
        <v>780</v>
      </c>
      <c r="G36">
        <v>232781817</v>
      </c>
      <c r="H36">
        <v>1221533</v>
      </c>
      <c r="I36">
        <v>74518781</v>
      </c>
      <c r="J36" s="1" t="s">
        <v>10</v>
      </c>
      <c r="K36" t="s">
        <v>7</v>
      </c>
      <c r="L36">
        <f t="shared" si="0"/>
        <v>0.78</v>
      </c>
      <c r="M36">
        <f>G36/100000</f>
        <v>2327.81817</v>
      </c>
      <c r="N36">
        <f t="shared" si="1"/>
        <v>122.1533</v>
      </c>
      <c r="O36">
        <f>I36/100000</f>
        <v>745.18781000000001</v>
      </c>
      <c r="P36">
        <f>LEN(A36)</f>
        <v>801</v>
      </c>
    </row>
    <row r="37" spans="1:16" x14ac:dyDescent="0.25">
      <c r="A37" t="s">
        <v>3</v>
      </c>
      <c r="B37">
        <v>261270039</v>
      </c>
      <c r="C37">
        <v>1314248313</v>
      </c>
      <c r="D37">
        <v>11384</v>
      </c>
      <c r="E37">
        <v>780</v>
      </c>
      <c r="F37">
        <v>490560</v>
      </c>
      <c r="G37">
        <v>232777971</v>
      </c>
      <c r="H37">
        <v>11270352</v>
      </c>
      <c r="I37">
        <v>70720742</v>
      </c>
      <c r="J37" s="1" t="s">
        <v>17</v>
      </c>
      <c r="K37" t="s">
        <v>6</v>
      </c>
      <c r="L37">
        <f t="shared" si="0"/>
        <v>490.56</v>
      </c>
      <c r="M37">
        <f>G37/100000</f>
        <v>2327.7797099999998</v>
      </c>
      <c r="N37">
        <f t="shared" si="1"/>
        <v>1127.0352</v>
      </c>
      <c r="O37">
        <f>I37/100000</f>
        <v>707.20741999999996</v>
      </c>
      <c r="P37">
        <f>LEN(A37)</f>
        <v>801</v>
      </c>
    </row>
    <row r="38" spans="1:16" x14ac:dyDescent="0.25">
      <c r="A38" t="s">
        <v>3</v>
      </c>
      <c r="B38">
        <v>261270039</v>
      </c>
      <c r="C38">
        <v>1314248313</v>
      </c>
      <c r="D38">
        <v>11384</v>
      </c>
      <c r="E38">
        <v>780</v>
      </c>
      <c r="F38">
        <v>32330</v>
      </c>
      <c r="G38">
        <v>232707304</v>
      </c>
      <c r="H38">
        <v>1160281</v>
      </c>
      <c r="I38">
        <v>75201227</v>
      </c>
      <c r="J38" s="1" t="s">
        <v>11</v>
      </c>
      <c r="K38" t="s">
        <v>7</v>
      </c>
      <c r="L38">
        <f t="shared" si="0"/>
        <v>32.33</v>
      </c>
      <c r="M38">
        <f>G38/100000</f>
        <v>2327.0730400000002</v>
      </c>
      <c r="N38">
        <f t="shared" si="1"/>
        <v>116.02809999999999</v>
      </c>
      <c r="O38">
        <f>I38/100000</f>
        <v>752.01226999999994</v>
      </c>
      <c r="P38">
        <f>LEN(A38)</f>
        <v>801</v>
      </c>
    </row>
    <row r="39" spans="1:16" x14ac:dyDescent="0.25">
      <c r="A39" t="s">
        <v>3</v>
      </c>
      <c r="B39">
        <v>261270039</v>
      </c>
      <c r="C39">
        <v>1314248313</v>
      </c>
      <c r="D39">
        <v>11384</v>
      </c>
      <c r="E39">
        <v>780</v>
      </c>
      <c r="F39">
        <v>780</v>
      </c>
      <c r="G39">
        <v>232496730</v>
      </c>
      <c r="H39">
        <v>6992651</v>
      </c>
      <c r="I39">
        <v>60738935</v>
      </c>
      <c r="J39" s="1" t="s">
        <v>8</v>
      </c>
      <c r="K39" t="s">
        <v>6</v>
      </c>
      <c r="L39">
        <f t="shared" si="0"/>
        <v>0.78</v>
      </c>
      <c r="M39">
        <f>G39/100000</f>
        <v>2324.9672999999998</v>
      </c>
      <c r="N39">
        <f t="shared" si="1"/>
        <v>699.26509999999996</v>
      </c>
      <c r="O39">
        <f>I39/100000</f>
        <v>607.38935000000004</v>
      </c>
      <c r="P39">
        <f>LEN(A39)</f>
        <v>801</v>
      </c>
    </row>
    <row r="40" spans="1:16" x14ac:dyDescent="0.25">
      <c r="A40" t="s">
        <v>3</v>
      </c>
      <c r="B40">
        <v>261270039</v>
      </c>
      <c r="C40">
        <v>1314248313</v>
      </c>
      <c r="D40">
        <v>11384</v>
      </c>
      <c r="E40">
        <v>780</v>
      </c>
      <c r="F40">
        <v>984</v>
      </c>
      <c r="G40">
        <v>232361877</v>
      </c>
      <c r="H40">
        <v>946729</v>
      </c>
      <c r="I40">
        <v>72868795</v>
      </c>
      <c r="J40" s="1" t="s">
        <v>12</v>
      </c>
      <c r="K40" t="s">
        <v>7</v>
      </c>
      <c r="L40">
        <f t="shared" si="0"/>
        <v>0.98399999999999999</v>
      </c>
      <c r="M40">
        <f>G40/100000</f>
        <v>2323.61877</v>
      </c>
      <c r="N40">
        <f t="shared" si="1"/>
        <v>94.672899999999998</v>
      </c>
      <c r="O40">
        <f>I40/100000</f>
        <v>728.68795</v>
      </c>
      <c r="P40">
        <f>LEN(A40)</f>
        <v>801</v>
      </c>
    </row>
    <row r="41" spans="1:16" x14ac:dyDescent="0.25">
      <c r="A41" t="s">
        <v>3</v>
      </c>
      <c r="B41">
        <v>261270039</v>
      </c>
      <c r="C41">
        <v>1314248313</v>
      </c>
      <c r="D41">
        <v>11384</v>
      </c>
      <c r="E41">
        <v>780</v>
      </c>
      <c r="F41">
        <v>780</v>
      </c>
      <c r="G41">
        <v>231343302</v>
      </c>
      <c r="H41">
        <v>3503131</v>
      </c>
      <c r="I41">
        <v>68549129</v>
      </c>
      <c r="J41" s="1" t="s">
        <v>5</v>
      </c>
      <c r="K41" t="s">
        <v>7</v>
      </c>
      <c r="L41">
        <f t="shared" si="0"/>
        <v>0.78</v>
      </c>
      <c r="M41">
        <f>G41/100000</f>
        <v>2313.4330199999999</v>
      </c>
      <c r="N41">
        <f t="shared" si="1"/>
        <v>350.31310000000002</v>
      </c>
      <c r="O41">
        <f>I41/100000</f>
        <v>685.49129000000005</v>
      </c>
      <c r="P41">
        <f>LEN(A41)</f>
        <v>801</v>
      </c>
    </row>
    <row r="42" spans="1:16" x14ac:dyDescent="0.25">
      <c r="A42" t="s">
        <v>3</v>
      </c>
      <c r="B42">
        <v>261270039</v>
      </c>
      <c r="C42">
        <v>1314248313</v>
      </c>
      <c r="D42">
        <v>11384</v>
      </c>
      <c r="E42">
        <v>780</v>
      </c>
      <c r="F42">
        <v>780</v>
      </c>
      <c r="G42">
        <v>231335065</v>
      </c>
      <c r="H42">
        <v>5768970</v>
      </c>
      <c r="I42">
        <v>60907531</v>
      </c>
      <c r="J42" s="1" t="s">
        <v>5</v>
      </c>
      <c r="K42" t="s">
        <v>6</v>
      </c>
      <c r="L42">
        <f t="shared" si="0"/>
        <v>0.78</v>
      </c>
      <c r="M42">
        <f>G42/100000</f>
        <v>2313.3506499999999</v>
      </c>
      <c r="N42">
        <f t="shared" si="1"/>
        <v>576.89700000000005</v>
      </c>
      <c r="O42">
        <f>I42/100000</f>
        <v>609.07530999999994</v>
      </c>
      <c r="P42">
        <f>LEN(A42)</f>
        <v>801</v>
      </c>
    </row>
    <row r="43" spans="1:16" x14ac:dyDescent="0.25">
      <c r="A43" t="s">
        <v>3</v>
      </c>
      <c r="B43">
        <v>261270039</v>
      </c>
      <c r="C43">
        <v>1314248313</v>
      </c>
      <c r="D43">
        <v>11384</v>
      </c>
      <c r="E43">
        <v>780</v>
      </c>
      <c r="F43">
        <v>780</v>
      </c>
      <c r="G43">
        <v>230698895</v>
      </c>
      <c r="H43">
        <v>1089355</v>
      </c>
      <c r="I43">
        <v>69074134</v>
      </c>
      <c r="J43" s="1" t="s">
        <v>9</v>
      </c>
      <c r="K43" t="s">
        <v>7</v>
      </c>
      <c r="L43">
        <f t="shared" si="0"/>
        <v>0.78</v>
      </c>
      <c r="M43">
        <f>G43/100000</f>
        <v>2306.9889499999999</v>
      </c>
      <c r="N43">
        <f t="shared" si="1"/>
        <v>108.9355</v>
      </c>
      <c r="O43">
        <f>I43/100000</f>
        <v>690.74134000000004</v>
      </c>
      <c r="P43">
        <f>LEN(A43)</f>
        <v>801</v>
      </c>
    </row>
    <row r="44" spans="1:16" x14ac:dyDescent="0.25">
      <c r="A44" t="s">
        <v>3</v>
      </c>
      <c r="B44">
        <v>261270039</v>
      </c>
      <c r="C44">
        <v>1314248313</v>
      </c>
      <c r="D44">
        <v>11384</v>
      </c>
      <c r="E44">
        <v>780</v>
      </c>
      <c r="F44">
        <v>780</v>
      </c>
      <c r="G44">
        <v>230393872</v>
      </c>
      <c r="H44">
        <v>2442870</v>
      </c>
      <c r="I44">
        <v>68366137</v>
      </c>
      <c r="J44" s="1" t="s">
        <v>8</v>
      </c>
      <c r="K44" t="s">
        <v>7</v>
      </c>
      <c r="L44">
        <f t="shared" si="0"/>
        <v>0.78</v>
      </c>
      <c r="M44">
        <f>G44/100000</f>
        <v>2303.9387200000001</v>
      </c>
      <c r="N44">
        <f t="shared" si="1"/>
        <v>244.28700000000001</v>
      </c>
      <c r="O44">
        <f>I44/100000</f>
        <v>683.66137000000003</v>
      </c>
      <c r="P44">
        <f>LEN(A44)</f>
        <v>801</v>
      </c>
    </row>
    <row r="45" spans="1:16" x14ac:dyDescent="0.25">
      <c r="A45" t="s">
        <v>3</v>
      </c>
      <c r="B45">
        <v>261270039</v>
      </c>
      <c r="C45">
        <v>1314248313</v>
      </c>
      <c r="D45">
        <v>11384</v>
      </c>
      <c r="E45">
        <v>780</v>
      </c>
      <c r="F45">
        <v>780</v>
      </c>
      <c r="G45">
        <v>229053661</v>
      </c>
      <c r="H45">
        <v>9642195</v>
      </c>
      <c r="I45">
        <v>67002571</v>
      </c>
      <c r="J45" s="1" t="s">
        <v>17</v>
      </c>
      <c r="K45" t="s">
        <v>7</v>
      </c>
      <c r="L45">
        <f t="shared" si="0"/>
        <v>0.78</v>
      </c>
      <c r="N45">
        <f t="shared" si="1"/>
        <v>964.21950000000004</v>
      </c>
      <c r="O45">
        <f>I45/100000</f>
        <v>670.02571</v>
      </c>
      <c r="P45">
        <f>LEN(A45)</f>
        <v>801</v>
      </c>
    </row>
    <row r="46" spans="1:16" s="2" customFormat="1" x14ac:dyDescent="0.25">
      <c r="A46" t="s">
        <v>4</v>
      </c>
      <c r="B46">
        <v>261207210</v>
      </c>
      <c r="C46">
        <v>739120275</v>
      </c>
      <c r="D46">
        <v>15493</v>
      </c>
      <c r="E46">
        <v>838</v>
      </c>
      <c r="F46">
        <v>838</v>
      </c>
      <c r="G46">
        <v>252728433</v>
      </c>
      <c r="H46">
        <v>1332793</v>
      </c>
      <c r="I46">
        <v>76087108</v>
      </c>
      <c r="J46" s="1" t="s">
        <v>16</v>
      </c>
      <c r="K46" t="s">
        <v>6</v>
      </c>
      <c r="L46">
        <f t="shared" si="0"/>
        <v>0.83799999999999997</v>
      </c>
      <c r="M46">
        <f>G46/100000</f>
        <v>2527.28433</v>
      </c>
      <c r="N46">
        <f t="shared" si="1"/>
        <v>133.27930000000001</v>
      </c>
      <c r="O46">
        <f>I46/100000</f>
        <v>760.87108000000001</v>
      </c>
      <c r="P46">
        <f>LEN(A46)</f>
        <v>671</v>
      </c>
    </row>
    <row r="47" spans="1:16" x14ac:dyDescent="0.25">
      <c r="A47" t="s">
        <v>4</v>
      </c>
      <c r="B47">
        <v>261207210</v>
      </c>
      <c r="C47">
        <v>739120275</v>
      </c>
      <c r="D47">
        <v>15493</v>
      </c>
      <c r="E47">
        <v>838</v>
      </c>
      <c r="F47">
        <v>838</v>
      </c>
      <c r="G47">
        <v>252693534</v>
      </c>
      <c r="H47">
        <v>1436158</v>
      </c>
      <c r="I47">
        <v>74894252</v>
      </c>
      <c r="J47" s="1" t="s">
        <v>15</v>
      </c>
      <c r="K47" t="s">
        <v>6</v>
      </c>
      <c r="L47">
        <f t="shared" si="0"/>
        <v>0.83799999999999997</v>
      </c>
      <c r="M47">
        <f>G47/100000</f>
        <v>2526.93534</v>
      </c>
      <c r="N47">
        <f t="shared" si="1"/>
        <v>143.61580000000001</v>
      </c>
      <c r="O47">
        <f>I47/100000</f>
        <v>748.94251999999994</v>
      </c>
      <c r="P47">
        <f>LEN(A47)</f>
        <v>671</v>
      </c>
    </row>
    <row r="48" spans="1:16" x14ac:dyDescent="0.25">
      <c r="A48" t="s">
        <v>4</v>
      </c>
      <c r="B48">
        <v>261207210</v>
      </c>
      <c r="C48">
        <v>739120275</v>
      </c>
      <c r="D48">
        <v>15493</v>
      </c>
      <c r="E48">
        <v>838</v>
      </c>
      <c r="F48">
        <v>838</v>
      </c>
      <c r="G48">
        <v>251813624</v>
      </c>
      <c r="H48">
        <v>492024</v>
      </c>
      <c r="I48">
        <v>78662157</v>
      </c>
      <c r="J48" s="1" t="s">
        <v>14</v>
      </c>
      <c r="K48" t="s">
        <v>6</v>
      </c>
      <c r="L48">
        <f t="shared" si="0"/>
        <v>0.83799999999999997</v>
      </c>
      <c r="M48">
        <f>G48/100000</f>
        <v>2518.1362399999998</v>
      </c>
      <c r="N48">
        <f t="shared" si="1"/>
        <v>49.202399999999997</v>
      </c>
      <c r="O48">
        <f>I48/100000</f>
        <v>786.62157000000002</v>
      </c>
      <c r="P48">
        <f>LEN(A48)</f>
        <v>671</v>
      </c>
    </row>
    <row r="49" spans="1:16" x14ac:dyDescent="0.25">
      <c r="A49" t="s">
        <v>4</v>
      </c>
      <c r="B49">
        <v>261207210</v>
      </c>
      <c r="C49">
        <v>739120275</v>
      </c>
      <c r="D49">
        <v>15493</v>
      </c>
      <c r="E49">
        <v>838</v>
      </c>
      <c r="F49">
        <v>838</v>
      </c>
      <c r="G49">
        <v>251580572</v>
      </c>
      <c r="H49">
        <v>800593</v>
      </c>
      <c r="I49">
        <v>75604507</v>
      </c>
      <c r="J49" s="1" t="s">
        <v>15</v>
      </c>
      <c r="K49" t="s">
        <v>7</v>
      </c>
      <c r="L49">
        <f t="shared" si="0"/>
        <v>0.83799999999999997</v>
      </c>
      <c r="M49">
        <f>G49/100000</f>
        <v>2515.8057199999998</v>
      </c>
      <c r="N49">
        <f t="shared" si="1"/>
        <v>80.059299999999993</v>
      </c>
      <c r="O49">
        <f>I49/100000</f>
        <v>756.04507000000001</v>
      </c>
      <c r="P49">
        <f>LEN(A49)</f>
        <v>671</v>
      </c>
    </row>
    <row r="50" spans="1:16" x14ac:dyDescent="0.25">
      <c r="A50" t="s">
        <v>4</v>
      </c>
      <c r="B50">
        <v>261207210</v>
      </c>
      <c r="C50">
        <v>739120275</v>
      </c>
      <c r="D50">
        <v>15493</v>
      </c>
      <c r="E50">
        <v>838</v>
      </c>
      <c r="F50">
        <v>885</v>
      </c>
      <c r="G50">
        <v>251455541</v>
      </c>
      <c r="H50">
        <v>166993</v>
      </c>
      <c r="I50">
        <v>75295633</v>
      </c>
      <c r="J50" s="1" t="s">
        <v>10</v>
      </c>
      <c r="K50" t="s">
        <v>6</v>
      </c>
      <c r="L50">
        <f t="shared" si="0"/>
        <v>0.88500000000000001</v>
      </c>
      <c r="M50">
        <f>G50/100000</f>
        <v>2514.5554099999999</v>
      </c>
      <c r="N50">
        <f t="shared" si="1"/>
        <v>16.699300000000001</v>
      </c>
      <c r="O50">
        <f>I50/100000</f>
        <v>752.95632999999998</v>
      </c>
      <c r="P50">
        <f>LEN(A50)</f>
        <v>671</v>
      </c>
    </row>
    <row r="51" spans="1:16" x14ac:dyDescent="0.25">
      <c r="A51" s="2" t="s">
        <v>4</v>
      </c>
      <c r="B51" s="2">
        <v>261207210</v>
      </c>
      <c r="C51" s="2">
        <v>739120275</v>
      </c>
      <c r="D51" s="2">
        <v>15493</v>
      </c>
      <c r="E51" s="2">
        <v>838</v>
      </c>
      <c r="F51" s="2">
        <v>838</v>
      </c>
      <c r="G51" s="2">
        <v>251151444</v>
      </c>
      <c r="H51" s="2">
        <v>2207448</v>
      </c>
      <c r="I51" s="2">
        <v>75592917</v>
      </c>
      <c r="J51" s="3" t="s">
        <v>16</v>
      </c>
      <c r="K51" s="2" t="s">
        <v>7</v>
      </c>
      <c r="L51">
        <f t="shared" si="0"/>
        <v>0.83799999999999997</v>
      </c>
      <c r="M51" s="2">
        <f>G51/100000</f>
        <v>2511.5144399999999</v>
      </c>
      <c r="N51">
        <f t="shared" si="1"/>
        <v>220.7448</v>
      </c>
      <c r="O51" s="2">
        <f>I51/100000</f>
        <v>755.92917</v>
      </c>
      <c r="P51">
        <f>LEN(A51)</f>
        <v>671</v>
      </c>
    </row>
    <row r="52" spans="1:16" x14ac:dyDescent="0.25">
      <c r="A52" t="s">
        <v>4</v>
      </c>
      <c r="B52">
        <v>261207210</v>
      </c>
      <c r="C52">
        <v>739120275</v>
      </c>
      <c r="D52">
        <v>15493</v>
      </c>
      <c r="E52">
        <v>838</v>
      </c>
      <c r="F52">
        <v>838</v>
      </c>
      <c r="G52">
        <v>250931584</v>
      </c>
      <c r="H52">
        <v>1552659</v>
      </c>
      <c r="I52">
        <v>79662500</v>
      </c>
      <c r="J52" s="1" t="s">
        <v>12</v>
      </c>
      <c r="K52" t="s">
        <v>6</v>
      </c>
      <c r="L52">
        <f t="shared" si="0"/>
        <v>0.83799999999999997</v>
      </c>
      <c r="M52">
        <f>G52/100000</f>
        <v>2509.3158400000002</v>
      </c>
      <c r="N52">
        <f t="shared" si="1"/>
        <v>155.26589999999999</v>
      </c>
      <c r="O52">
        <f>I52/100000</f>
        <v>796.625</v>
      </c>
      <c r="P52">
        <f>LEN(A52)</f>
        <v>671</v>
      </c>
    </row>
    <row r="53" spans="1:16" x14ac:dyDescent="0.25">
      <c r="A53" t="s">
        <v>4</v>
      </c>
      <c r="B53">
        <v>261207210</v>
      </c>
      <c r="C53">
        <v>739120275</v>
      </c>
      <c r="D53">
        <v>15493</v>
      </c>
      <c r="E53">
        <v>838</v>
      </c>
      <c r="F53">
        <v>11672</v>
      </c>
      <c r="G53">
        <v>250878217</v>
      </c>
      <c r="H53">
        <v>374697</v>
      </c>
      <c r="I53">
        <v>78434939</v>
      </c>
      <c r="J53" s="1" t="s">
        <v>13</v>
      </c>
      <c r="K53" t="s">
        <v>6</v>
      </c>
      <c r="L53">
        <f t="shared" si="0"/>
        <v>11.672000000000001</v>
      </c>
      <c r="M53">
        <f>G53/100000</f>
        <v>2508.78217</v>
      </c>
      <c r="N53">
        <f t="shared" si="1"/>
        <v>37.469700000000003</v>
      </c>
      <c r="O53">
        <f>I53/100000</f>
        <v>784.34938999999997</v>
      </c>
      <c r="P53">
        <f>LEN(A53)</f>
        <v>671</v>
      </c>
    </row>
    <row r="54" spans="1:16" x14ac:dyDescent="0.25">
      <c r="A54" t="s">
        <v>4</v>
      </c>
      <c r="B54">
        <v>261207210</v>
      </c>
      <c r="C54">
        <v>739120275</v>
      </c>
      <c r="D54">
        <v>15493</v>
      </c>
      <c r="E54">
        <v>838</v>
      </c>
      <c r="F54">
        <v>1361</v>
      </c>
      <c r="G54">
        <v>250613468</v>
      </c>
      <c r="H54">
        <v>362900</v>
      </c>
      <c r="I54">
        <v>82158894</v>
      </c>
      <c r="J54" s="1" t="s">
        <v>13</v>
      </c>
      <c r="K54" t="s">
        <v>7</v>
      </c>
      <c r="L54">
        <f t="shared" si="0"/>
        <v>1.361</v>
      </c>
      <c r="M54">
        <f>G54/100000</f>
        <v>2506.1346800000001</v>
      </c>
      <c r="N54">
        <f t="shared" si="1"/>
        <v>36.29</v>
      </c>
      <c r="O54">
        <f>I54/100000</f>
        <v>821.58893999999998</v>
      </c>
      <c r="P54">
        <f>LEN(A54)</f>
        <v>671</v>
      </c>
    </row>
    <row r="55" spans="1:16" x14ac:dyDescent="0.25">
      <c r="A55" t="s">
        <v>4</v>
      </c>
      <c r="B55">
        <v>261207210</v>
      </c>
      <c r="C55">
        <v>739120275</v>
      </c>
      <c r="D55">
        <v>15493</v>
      </c>
      <c r="E55">
        <v>838</v>
      </c>
      <c r="F55">
        <v>99133</v>
      </c>
      <c r="G55">
        <v>250576935</v>
      </c>
      <c r="H55">
        <v>446714</v>
      </c>
      <c r="I55">
        <v>77383273</v>
      </c>
      <c r="J55" s="1" t="s">
        <v>11</v>
      </c>
      <c r="K55" t="s">
        <v>6</v>
      </c>
      <c r="L55">
        <f t="shared" si="0"/>
        <v>99.132999999999996</v>
      </c>
      <c r="M55">
        <f>G55/100000</f>
        <v>2505.76935</v>
      </c>
      <c r="N55">
        <f t="shared" si="1"/>
        <v>44.671399999999998</v>
      </c>
      <c r="O55">
        <f>I55/100000</f>
        <v>773.83272999999997</v>
      </c>
      <c r="P55">
        <f>LEN(A55)</f>
        <v>671</v>
      </c>
    </row>
    <row r="56" spans="1:16" x14ac:dyDescent="0.25">
      <c r="A56" t="s">
        <v>4</v>
      </c>
      <c r="B56">
        <v>261207210</v>
      </c>
      <c r="C56">
        <v>739120275</v>
      </c>
      <c r="D56">
        <v>15493</v>
      </c>
      <c r="E56">
        <v>838</v>
      </c>
      <c r="F56">
        <v>25877</v>
      </c>
      <c r="G56">
        <v>250288064</v>
      </c>
      <c r="H56">
        <v>1134647</v>
      </c>
      <c r="I56">
        <v>80462464</v>
      </c>
      <c r="J56" s="1" t="s">
        <v>11</v>
      </c>
      <c r="K56" t="s">
        <v>7</v>
      </c>
      <c r="L56">
        <f t="shared" si="0"/>
        <v>25.876999999999999</v>
      </c>
      <c r="M56">
        <f>G56/100000</f>
        <v>2502.8806399999999</v>
      </c>
      <c r="N56">
        <f t="shared" si="1"/>
        <v>113.46469999999999</v>
      </c>
      <c r="O56">
        <f>I56/100000</f>
        <v>804.62464</v>
      </c>
      <c r="P56">
        <f>LEN(A56)</f>
        <v>671</v>
      </c>
    </row>
    <row r="57" spans="1:16" x14ac:dyDescent="0.25">
      <c r="A57" t="s">
        <v>4</v>
      </c>
      <c r="B57">
        <v>261207210</v>
      </c>
      <c r="C57">
        <v>739120275</v>
      </c>
      <c r="D57">
        <v>15493</v>
      </c>
      <c r="E57">
        <v>838</v>
      </c>
      <c r="F57">
        <v>838</v>
      </c>
      <c r="G57">
        <v>250278513</v>
      </c>
      <c r="H57">
        <v>1375915</v>
      </c>
      <c r="I57">
        <v>79975325</v>
      </c>
      <c r="J57" s="1" t="s">
        <v>10</v>
      </c>
      <c r="K57" t="s">
        <v>7</v>
      </c>
      <c r="L57">
        <f t="shared" si="0"/>
        <v>0.83799999999999997</v>
      </c>
      <c r="M57">
        <f>G57/100000</f>
        <v>2502.7851300000002</v>
      </c>
      <c r="N57">
        <f t="shared" si="1"/>
        <v>137.5915</v>
      </c>
      <c r="O57">
        <f>I57/100000</f>
        <v>799.75324999999998</v>
      </c>
      <c r="P57">
        <f>LEN(A57)</f>
        <v>671</v>
      </c>
    </row>
    <row r="58" spans="1:16" x14ac:dyDescent="0.25">
      <c r="A58" t="s">
        <v>4</v>
      </c>
      <c r="B58">
        <v>261207210</v>
      </c>
      <c r="C58">
        <v>739120275</v>
      </c>
      <c r="D58">
        <v>15493</v>
      </c>
      <c r="E58">
        <v>838</v>
      </c>
      <c r="F58">
        <v>67710</v>
      </c>
      <c r="G58">
        <v>250262501</v>
      </c>
      <c r="H58">
        <v>12176576</v>
      </c>
      <c r="I58">
        <v>76506833</v>
      </c>
      <c r="J58" s="1" t="s">
        <v>17</v>
      </c>
      <c r="K58" t="s">
        <v>6</v>
      </c>
      <c r="L58">
        <f t="shared" si="0"/>
        <v>67.709999999999994</v>
      </c>
      <c r="M58">
        <f>G58/100000</f>
        <v>2502.6250100000002</v>
      </c>
      <c r="N58">
        <f t="shared" si="1"/>
        <v>1217.6576</v>
      </c>
      <c r="O58">
        <f>I58/100000</f>
        <v>765.06832999999995</v>
      </c>
      <c r="P58">
        <f>LEN(A58)</f>
        <v>671</v>
      </c>
    </row>
    <row r="59" spans="1:16" x14ac:dyDescent="0.25">
      <c r="A59" t="s">
        <v>4</v>
      </c>
      <c r="B59">
        <v>261207210</v>
      </c>
      <c r="C59">
        <v>739120275</v>
      </c>
      <c r="D59">
        <v>15493</v>
      </c>
      <c r="E59">
        <v>838</v>
      </c>
      <c r="F59">
        <v>838</v>
      </c>
      <c r="G59">
        <v>250243702</v>
      </c>
      <c r="H59">
        <v>2122110</v>
      </c>
      <c r="I59">
        <v>69062854</v>
      </c>
      <c r="J59" s="1" t="s">
        <v>9</v>
      </c>
      <c r="K59" t="s">
        <v>6</v>
      </c>
      <c r="L59">
        <f t="shared" si="0"/>
        <v>0.83799999999999997</v>
      </c>
      <c r="M59">
        <f>G59/100000</f>
        <v>2502.4370199999998</v>
      </c>
      <c r="N59">
        <f t="shared" si="1"/>
        <v>212.21100000000001</v>
      </c>
      <c r="O59">
        <f>I59/100000</f>
        <v>690.62854000000004</v>
      </c>
      <c r="P59">
        <f>LEN(A59)</f>
        <v>671</v>
      </c>
    </row>
    <row r="60" spans="1:16" x14ac:dyDescent="0.25">
      <c r="A60" t="s">
        <v>4</v>
      </c>
      <c r="B60">
        <v>261207210</v>
      </c>
      <c r="C60">
        <v>739120275</v>
      </c>
      <c r="D60">
        <v>15493</v>
      </c>
      <c r="E60">
        <v>838</v>
      </c>
      <c r="F60">
        <v>56459</v>
      </c>
      <c r="G60">
        <v>250214298</v>
      </c>
      <c r="H60">
        <v>2629979</v>
      </c>
      <c r="I60">
        <v>81103241</v>
      </c>
      <c r="J60" s="1" t="s">
        <v>14</v>
      </c>
      <c r="K60" t="s">
        <v>7</v>
      </c>
      <c r="L60">
        <f t="shared" si="0"/>
        <v>56.459000000000003</v>
      </c>
      <c r="M60">
        <f>G60/100000</f>
        <v>2502.1429800000001</v>
      </c>
      <c r="N60">
        <f t="shared" si="1"/>
        <v>262.99790000000002</v>
      </c>
      <c r="O60">
        <f>I60/100000</f>
        <v>811.03241000000003</v>
      </c>
      <c r="P60">
        <f>LEN(A60)</f>
        <v>671</v>
      </c>
    </row>
    <row r="61" spans="1:16" x14ac:dyDescent="0.25">
      <c r="A61" t="s">
        <v>4</v>
      </c>
      <c r="B61">
        <v>261207210</v>
      </c>
      <c r="C61">
        <v>739120275</v>
      </c>
      <c r="D61">
        <v>15493</v>
      </c>
      <c r="E61">
        <v>838</v>
      </c>
      <c r="F61">
        <v>838</v>
      </c>
      <c r="G61">
        <v>249968481</v>
      </c>
      <c r="H61">
        <v>7012787</v>
      </c>
      <c r="I61">
        <v>68833439</v>
      </c>
      <c r="J61" s="1" t="s">
        <v>8</v>
      </c>
      <c r="K61" t="s">
        <v>6</v>
      </c>
      <c r="L61">
        <f t="shared" si="0"/>
        <v>0.83799999999999997</v>
      </c>
      <c r="M61">
        <f>G61/100000</f>
        <v>2499.6848100000002</v>
      </c>
      <c r="N61">
        <f t="shared" si="1"/>
        <v>701.27869999999996</v>
      </c>
      <c r="O61">
        <f>I61/100000</f>
        <v>688.33438999999998</v>
      </c>
      <c r="P61">
        <f>LEN(A61)</f>
        <v>671</v>
      </c>
    </row>
    <row r="62" spans="1:16" x14ac:dyDescent="0.25">
      <c r="A62" t="s">
        <v>4</v>
      </c>
      <c r="B62">
        <v>261207210</v>
      </c>
      <c r="C62">
        <v>739120275</v>
      </c>
      <c r="D62">
        <v>15493</v>
      </c>
      <c r="E62">
        <v>838</v>
      </c>
      <c r="F62">
        <v>1336</v>
      </c>
      <c r="G62">
        <v>249784214</v>
      </c>
      <c r="H62">
        <v>846606</v>
      </c>
      <c r="I62">
        <v>77901918</v>
      </c>
      <c r="J62" s="1" t="s">
        <v>12</v>
      </c>
      <c r="K62" t="s">
        <v>7</v>
      </c>
      <c r="L62">
        <f t="shared" si="0"/>
        <v>1.3360000000000001</v>
      </c>
      <c r="M62">
        <f>G62/100000</f>
        <v>2497.8421400000002</v>
      </c>
      <c r="N62">
        <f t="shared" si="1"/>
        <v>84.660600000000002</v>
      </c>
      <c r="O62">
        <f>I62/100000</f>
        <v>779.01918000000001</v>
      </c>
      <c r="P62">
        <f>LEN(A62)</f>
        <v>671</v>
      </c>
    </row>
    <row r="63" spans="1:16" x14ac:dyDescent="0.25">
      <c r="A63" t="s">
        <v>4</v>
      </c>
      <c r="B63">
        <v>261207210</v>
      </c>
      <c r="C63">
        <v>739120275</v>
      </c>
      <c r="D63">
        <v>15493</v>
      </c>
      <c r="E63">
        <v>838</v>
      </c>
      <c r="F63">
        <v>838</v>
      </c>
      <c r="G63">
        <v>248765820</v>
      </c>
      <c r="H63">
        <v>6239926</v>
      </c>
      <c r="I63">
        <v>65942680</v>
      </c>
      <c r="J63" s="1" t="s">
        <v>5</v>
      </c>
      <c r="K63" t="s">
        <v>6</v>
      </c>
      <c r="L63">
        <f t="shared" si="0"/>
        <v>0.83799999999999997</v>
      </c>
      <c r="M63">
        <f>G63/100000</f>
        <v>2487.6581999999999</v>
      </c>
      <c r="N63">
        <f t="shared" si="1"/>
        <v>623.99260000000004</v>
      </c>
      <c r="O63">
        <f>I63/100000</f>
        <v>659.42679999999996</v>
      </c>
      <c r="P63">
        <f>LEN(A63)</f>
        <v>671</v>
      </c>
    </row>
    <row r="64" spans="1:16" x14ac:dyDescent="0.25">
      <c r="A64" t="s">
        <v>4</v>
      </c>
      <c r="B64">
        <v>261207210</v>
      </c>
      <c r="C64">
        <v>739120275</v>
      </c>
      <c r="D64">
        <v>15493</v>
      </c>
      <c r="E64">
        <v>838</v>
      </c>
      <c r="F64">
        <v>838</v>
      </c>
      <c r="G64">
        <v>248530421</v>
      </c>
      <c r="H64">
        <v>3463134</v>
      </c>
      <c r="I64">
        <v>73525322</v>
      </c>
      <c r="J64" s="1" t="s">
        <v>5</v>
      </c>
      <c r="K64" t="s">
        <v>7</v>
      </c>
      <c r="L64">
        <f t="shared" si="0"/>
        <v>0.83799999999999997</v>
      </c>
      <c r="M64">
        <f>G64/100000</f>
        <v>2485.3042099999998</v>
      </c>
      <c r="N64">
        <f t="shared" si="1"/>
        <v>346.3134</v>
      </c>
      <c r="O64">
        <f>I64/100000</f>
        <v>735.25322000000006</v>
      </c>
      <c r="P64">
        <f>LEN(A64)</f>
        <v>671</v>
      </c>
    </row>
    <row r="65" spans="1:16" x14ac:dyDescent="0.25">
      <c r="A65" t="s">
        <v>4</v>
      </c>
      <c r="B65">
        <v>261207210</v>
      </c>
      <c r="C65">
        <v>739120275</v>
      </c>
      <c r="D65">
        <v>15493</v>
      </c>
      <c r="E65">
        <v>838</v>
      </c>
      <c r="F65">
        <v>838</v>
      </c>
      <c r="G65">
        <v>248033018</v>
      </c>
      <c r="H65">
        <v>1088122</v>
      </c>
      <c r="I65">
        <v>72401488</v>
      </c>
      <c r="J65" s="1" t="s">
        <v>9</v>
      </c>
      <c r="K65" t="s">
        <v>7</v>
      </c>
      <c r="L65">
        <f t="shared" si="0"/>
        <v>0.83799999999999997</v>
      </c>
      <c r="M65">
        <f>G65/100000</f>
        <v>2480.3301799999999</v>
      </c>
      <c r="N65">
        <f t="shared" si="1"/>
        <v>108.8122</v>
      </c>
      <c r="O65">
        <f>I65/100000</f>
        <v>724.01487999999995</v>
      </c>
      <c r="P65">
        <f>LEN(A65)</f>
        <v>671</v>
      </c>
    </row>
    <row r="66" spans="1:16" x14ac:dyDescent="0.25">
      <c r="A66" t="s">
        <v>4</v>
      </c>
      <c r="B66">
        <v>261207210</v>
      </c>
      <c r="C66">
        <v>739120275</v>
      </c>
      <c r="D66">
        <v>15493</v>
      </c>
      <c r="E66">
        <v>838</v>
      </c>
      <c r="F66">
        <v>838</v>
      </c>
      <c r="G66">
        <v>247533017</v>
      </c>
      <c r="H66">
        <v>2615246</v>
      </c>
      <c r="I66">
        <v>73073265</v>
      </c>
      <c r="J66" s="1" t="s">
        <v>8</v>
      </c>
      <c r="K66" t="s">
        <v>7</v>
      </c>
      <c r="L66">
        <f t="shared" si="0"/>
        <v>0.83799999999999997</v>
      </c>
      <c r="M66">
        <f>G66/100000</f>
        <v>2475.3301700000002</v>
      </c>
      <c r="N66">
        <f t="shared" si="1"/>
        <v>261.52460000000002</v>
      </c>
      <c r="O66">
        <f>I66/100000</f>
        <v>730.73265000000004</v>
      </c>
      <c r="P66">
        <f>LEN(A66)</f>
        <v>671</v>
      </c>
    </row>
    <row r="67" spans="1:16" x14ac:dyDescent="0.25">
      <c r="A67" t="s">
        <v>4</v>
      </c>
      <c r="B67">
        <v>261207210</v>
      </c>
      <c r="C67">
        <v>739120275</v>
      </c>
      <c r="D67">
        <v>15493</v>
      </c>
      <c r="E67">
        <v>838</v>
      </c>
      <c r="F67">
        <v>838</v>
      </c>
      <c r="G67">
        <v>245680004</v>
      </c>
      <c r="H67">
        <v>9275618</v>
      </c>
      <c r="I67">
        <v>74512742</v>
      </c>
      <c r="J67" s="1" t="s">
        <v>17</v>
      </c>
      <c r="K67" t="s">
        <v>7</v>
      </c>
      <c r="L67">
        <f t="shared" ref="L67:L111" si="2">F67/1000</f>
        <v>0.83799999999999997</v>
      </c>
      <c r="N67">
        <f t="shared" ref="N67:N111" si="3">H67/10000</f>
        <v>927.56179999999995</v>
      </c>
      <c r="O67">
        <f>I67/100000</f>
        <v>745.12742000000003</v>
      </c>
      <c r="P67">
        <f>LEN(A67)</f>
        <v>671</v>
      </c>
    </row>
    <row r="68" spans="1:16" x14ac:dyDescent="0.25">
      <c r="A68" t="s">
        <v>2</v>
      </c>
      <c r="B68">
        <v>261154568</v>
      </c>
      <c r="C68">
        <v>261116790</v>
      </c>
      <c r="D68">
        <v>10081</v>
      </c>
      <c r="E68">
        <v>849</v>
      </c>
      <c r="F68">
        <v>849</v>
      </c>
      <c r="G68">
        <v>256016512</v>
      </c>
      <c r="H68">
        <v>1134984</v>
      </c>
      <c r="I68">
        <v>75302723</v>
      </c>
      <c r="J68" s="1" t="s">
        <v>15</v>
      </c>
      <c r="K68" t="s">
        <v>6</v>
      </c>
      <c r="L68">
        <f t="shared" si="2"/>
        <v>0.84899999999999998</v>
      </c>
      <c r="M68">
        <f>G68/100000</f>
        <v>2560.1651200000001</v>
      </c>
      <c r="N68">
        <f t="shared" si="3"/>
        <v>113.4984</v>
      </c>
      <c r="O68">
        <f>I68/100000</f>
        <v>753.02723000000003</v>
      </c>
      <c r="P68">
        <f>LEN(A68)</f>
        <v>784</v>
      </c>
    </row>
    <row r="69" spans="1:16" x14ac:dyDescent="0.25">
      <c r="A69" t="s">
        <v>2</v>
      </c>
      <c r="B69">
        <v>261154568</v>
      </c>
      <c r="C69">
        <v>261116790</v>
      </c>
      <c r="D69">
        <v>10081</v>
      </c>
      <c r="E69">
        <v>849</v>
      </c>
      <c r="F69">
        <v>849</v>
      </c>
      <c r="G69">
        <v>256016002</v>
      </c>
      <c r="H69">
        <v>1251558</v>
      </c>
      <c r="I69">
        <v>79458618</v>
      </c>
      <c r="J69" s="1" t="s">
        <v>16</v>
      </c>
      <c r="K69" t="s">
        <v>6</v>
      </c>
      <c r="L69">
        <f t="shared" si="2"/>
        <v>0.84899999999999998</v>
      </c>
      <c r="M69">
        <f>G69/100000</f>
        <v>2560.1600199999998</v>
      </c>
      <c r="N69">
        <f t="shared" si="3"/>
        <v>125.1558</v>
      </c>
      <c r="O69">
        <f>I69/100000</f>
        <v>794.58618000000001</v>
      </c>
      <c r="P69">
        <f>LEN(A69)</f>
        <v>784</v>
      </c>
    </row>
    <row r="70" spans="1:16" x14ac:dyDescent="0.25">
      <c r="A70" t="s">
        <v>2</v>
      </c>
      <c r="B70">
        <v>261154568</v>
      </c>
      <c r="C70">
        <v>261116790</v>
      </c>
      <c r="D70">
        <v>10081</v>
      </c>
      <c r="E70">
        <v>849</v>
      </c>
      <c r="F70">
        <v>849</v>
      </c>
      <c r="G70">
        <v>255055230</v>
      </c>
      <c r="H70">
        <v>567713</v>
      </c>
      <c r="I70">
        <v>80328049</v>
      </c>
      <c r="J70" s="1" t="s">
        <v>14</v>
      </c>
      <c r="K70" t="s">
        <v>6</v>
      </c>
      <c r="L70">
        <f t="shared" si="2"/>
        <v>0.84899999999999998</v>
      </c>
      <c r="M70">
        <f>G70/100000</f>
        <v>2550.5522999999998</v>
      </c>
      <c r="N70">
        <f t="shared" si="3"/>
        <v>56.771299999999997</v>
      </c>
      <c r="O70">
        <f>I70/100000</f>
        <v>803.28048999999999</v>
      </c>
      <c r="P70">
        <f>LEN(A70)</f>
        <v>784</v>
      </c>
    </row>
    <row r="71" spans="1:16" x14ac:dyDescent="0.25">
      <c r="A71" t="s">
        <v>2</v>
      </c>
      <c r="B71">
        <v>261154568</v>
      </c>
      <c r="C71">
        <v>261116790</v>
      </c>
      <c r="D71">
        <v>10081</v>
      </c>
      <c r="E71">
        <v>849</v>
      </c>
      <c r="F71">
        <v>849</v>
      </c>
      <c r="G71">
        <v>254939020</v>
      </c>
      <c r="H71">
        <v>2603263</v>
      </c>
      <c r="I71">
        <v>74449515</v>
      </c>
      <c r="J71" s="1" t="s">
        <v>16</v>
      </c>
      <c r="K71" t="s">
        <v>7</v>
      </c>
      <c r="L71">
        <f t="shared" si="2"/>
        <v>0.84899999999999998</v>
      </c>
      <c r="M71">
        <f>G71/100000</f>
        <v>2549.3901999999998</v>
      </c>
      <c r="N71">
        <f t="shared" si="3"/>
        <v>260.3263</v>
      </c>
      <c r="O71">
        <f>I71/100000</f>
        <v>744.49514999999997</v>
      </c>
      <c r="P71">
        <f>LEN(A71)</f>
        <v>784</v>
      </c>
    </row>
    <row r="72" spans="1:16" x14ac:dyDescent="0.25">
      <c r="A72" t="s">
        <v>2</v>
      </c>
      <c r="B72">
        <v>261154568</v>
      </c>
      <c r="C72">
        <v>261116790</v>
      </c>
      <c r="D72">
        <v>10081</v>
      </c>
      <c r="E72">
        <v>849</v>
      </c>
      <c r="F72">
        <v>1109</v>
      </c>
      <c r="G72">
        <v>254815755</v>
      </c>
      <c r="H72">
        <v>133756</v>
      </c>
      <c r="I72">
        <v>77259250</v>
      </c>
      <c r="J72" s="1" t="s">
        <v>10</v>
      </c>
      <c r="K72" t="s">
        <v>6</v>
      </c>
      <c r="L72">
        <f t="shared" si="2"/>
        <v>1.109</v>
      </c>
      <c r="M72">
        <f>G72/100000</f>
        <v>2548.1575499999999</v>
      </c>
      <c r="N72">
        <f t="shared" si="3"/>
        <v>13.3756</v>
      </c>
      <c r="O72">
        <f>I72/100000</f>
        <v>772.59249999999997</v>
      </c>
      <c r="P72">
        <f>LEN(A72)</f>
        <v>784</v>
      </c>
    </row>
    <row r="73" spans="1:16" x14ac:dyDescent="0.25">
      <c r="A73" t="s">
        <v>2</v>
      </c>
      <c r="B73">
        <v>261154568</v>
      </c>
      <c r="C73">
        <v>261116790</v>
      </c>
      <c r="D73">
        <v>10081</v>
      </c>
      <c r="E73">
        <v>849</v>
      </c>
      <c r="F73">
        <v>849</v>
      </c>
      <c r="G73">
        <v>254763218</v>
      </c>
      <c r="H73">
        <v>346008</v>
      </c>
      <c r="I73">
        <v>76382860</v>
      </c>
      <c r="J73" s="1" t="s">
        <v>15</v>
      </c>
      <c r="K73" t="s">
        <v>7</v>
      </c>
      <c r="L73">
        <f t="shared" si="2"/>
        <v>0.84899999999999998</v>
      </c>
      <c r="M73">
        <f>G73/100000</f>
        <v>2547.6321800000001</v>
      </c>
      <c r="N73">
        <f t="shared" si="3"/>
        <v>34.6008</v>
      </c>
      <c r="O73">
        <f>I73/100000</f>
        <v>763.82860000000005</v>
      </c>
      <c r="P73">
        <f>LEN(A73)</f>
        <v>784</v>
      </c>
    </row>
    <row r="74" spans="1:16" x14ac:dyDescent="0.25">
      <c r="A74" t="s">
        <v>2</v>
      </c>
      <c r="B74">
        <v>261154568</v>
      </c>
      <c r="C74">
        <v>261116790</v>
      </c>
      <c r="D74">
        <v>10081</v>
      </c>
      <c r="E74">
        <v>849</v>
      </c>
      <c r="F74">
        <v>20764</v>
      </c>
      <c r="G74">
        <v>254157551</v>
      </c>
      <c r="H74">
        <v>708263</v>
      </c>
      <c r="I74">
        <v>79357844</v>
      </c>
      <c r="J74" s="1" t="s">
        <v>13</v>
      </c>
      <c r="K74" t="s">
        <v>6</v>
      </c>
      <c r="L74">
        <f t="shared" si="2"/>
        <v>20.763999999999999</v>
      </c>
      <c r="M74">
        <f>G74/100000</f>
        <v>2541.5755100000001</v>
      </c>
      <c r="N74">
        <f t="shared" si="3"/>
        <v>70.826300000000003</v>
      </c>
      <c r="O74">
        <f>I74/100000</f>
        <v>793.57844</v>
      </c>
      <c r="P74">
        <f>LEN(A74)</f>
        <v>784</v>
      </c>
    </row>
    <row r="75" spans="1:16" x14ac:dyDescent="0.25">
      <c r="A75" t="s">
        <v>2</v>
      </c>
      <c r="B75">
        <v>261154568</v>
      </c>
      <c r="C75">
        <v>261116790</v>
      </c>
      <c r="D75">
        <v>10081</v>
      </c>
      <c r="E75">
        <v>849</v>
      </c>
      <c r="F75">
        <v>872</v>
      </c>
      <c r="G75">
        <v>254132799</v>
      </c>
      <c r="H75">
        <v>1678462</v>
      </c>
      <c r="I75">
        <v>80410179</v>
      </c>
      <c r="J75" s="1" t="s">
        <v>12</v>
      </c>
      <c r="K75" t="s">
        <v>6</v>
      </c>
      <c r="L75">
        <f t="shared" si="2"/>
        <v>0.872</v>
      </c>
      <c r="M75">
        <f>G75/100000</f>
        <v>2541.3279900000002</v>
      </c>
      <c r="N75">
        <f t="shared" si="3"/>
        <v>167.84620000000001</v>
      </c>
      <c r="O75">
        <f>I75/100000</f>
        <v>804.10179000000005</v>
      </c>
      <c r="P75">
        <f>LEN(A75)</f>
        <v>784</v>
      </c>
    </row>
    <row r="76" spans="1:16" x14ac:dyDescent="0.25">
      <c r="A76" t="s">
        <v>2</v>
      </c>
      <c r="B76">
        <v>261154568</v>
      </c>
      <c r="C76">
        <v>261116790</v>
      </c>
      <c r="D76">
        <v>10081</v>
      </c>
      <c r="E76">
        <v>849</v>
      </c>
      <c r="F76">
        <v>87551</v>
      </c>
      <c r="G76">
        <v>253780317</v>
      </c>
      <c r="H76">
        <v>489522</v>
      </c>
      <c r="I76">
        <v>77354780</v>
      </c>
      <c r="J76" s="1" t="s">
        <v>11</v>
      </c>
      <c r="K76" t="s">
        <v>6</v>
      </c>
      <c r="L76">
        <f t="shared" si="2"/>
        <v>87.551000000000002</v>
      </c>
      <c r="M76">
        <f>G76/100000</f>
        <v>2537.8031700000001</v>
      </c>
      <c r="N76">
        <f t="shared" si="3"/>
        <v>48.952199999999998</v>
      </c>
      <c r="O76">
        <f>I76/100000</f>
        <v>773.54780000000005</v>
      </c>
      <c r="P76">
        <f>LEN(A76)</f>
        <v>784</v>
      </c>
    </row>
    <row r="77" spans="1:16" x14ac:dyDescent="0.25">
      <c r="A77" t="s">
        <v>2</v>
      </c>
      <c r="B77">
        <v>261154568</v>
      </c>
      <c r="C77">
        <v>261116790</v>
      </c>
      <c r="D77">
        <v>10081</v>
      </c>
      <c r="E77">
        <v>849</v>
      </c>
      <c r="F77">
        <v>849</v>
      </c>
      <c r="G77">
        <v>253779833</v>
      </c>
      <c r="H77">
        <v>296660</v>
      </c>
      <c r="I77">
        <v>83361669</v>
      </c>
      <c r="J77" s="1" t="s">
        <v>13</v>
      </c>
      <c r="K77" t="s">
        <v>7</v>
      </c>
      <c r="L77">
        <f t="shared" si="2"/>
        <v>0.84899999999999998</v>
      </c>
      <c r="M77">
        <f>G77/100000</f>
        <v>2537.7983300000001</v>
      </c>
      <c r="N77">
        <f t="shared" si="3"/>
        <v>29.666</v>
      </c>
      <c r="O77">
        <f>I77/100000</f>
        <v>833.61668999999995</v>
      </c>
      <c r="P77">
        <f>LEN(A77)</f>
        <v>784</v>
      </c>
    </row>
    <row r="78" spans="1:16" x14ac:dyDescent="0.25">
      <c r="A78" t="s">
        <v>2</v>
      </c>
      <c r="B78">
        <v>261154568</v>
      </c>
      <c r="C78">
        <v>261116790</v>
      </c>
      <c r="D78">
        <v>10081</v>
      </c>
      <c r="E78">
        <v>849</v>
      </c>
      <c r="F78">
        <v>18108</v>
      </c>
      <c r="G78">
        <v>253665094</v>
      </c>
      <c r="H78">
        <v>2706518</v>
      </c>
      <c r="I78">
        <v>83031493</v>
      </c>
      <c r="J78" s="1" t="s">
        <v>14</v>
      </c>
      <c r="K78" t="s">
        <v>7</v>
      </c>
      <c r="L78">
        <f t="shared" si="2"/>
        <v>18.108000000000001</v>
      </c>
      <c r="M78">
        <f>G78/100000</f>
        <v>2536.65094</v>
      </c>
      <c r="N78">
        <f t="shared" si="3"/>
        <v>270.65179999999998</v>
      </c>
      <c r="O78">
        <f>I78/100000</f>
        <v>830.31493</v>
      </c>
      <c r="P78">
        <f>LEN(A78)</f>
        <v>784</v>
      </c>
    </row>
    <row r="79" spans="1:16" x14ac:dyDescent="0.25">
      <c r="A79" t="s">
        <v>2</v>
      </c>
      <c r="B79">
        <v>261154568</v>
      </c>
      <c r="C79">
        <v>261116790</v>
      </c>
      <c r="D79">
        <v>10081</v>
      </c>
      <c r="E79">
        <v>849</v>
      </c>
      <c r="F79">
        <v>849</v>
      </c>
      <c r="G79">
        <v>253655920</v>
      </c>
      <c r="H79">
        <v>2203363</v>
      </c>
      <c r="I79">
        <v>70704217</v>
      </c>
      <c r="J79" s="1" t="s">
        <v>9</v>
      </c>
      <c r="K79" t="s">
        <v>6</v>
      </c>
      <c r="L79">
        <f t="shared" si="2"/>
        <v>0.84899999999999998</v>
      </c>
      <c r="M79">
        <f>G79/100000</f>
        <v>2536.5592000000001</v>
      </c>
      <c r="N79">
        <f t="shared" si="3"/>
        <v>220.33629999999999</v>
      </c>
      <c r="O79">
        <f>I79/100000</f>
        <v>707.04217000000006</v>
      </c>
      <c r="P79">
        <f>LEN(A79)</f>
        <v>784</v>
      </c>
    </row>
    <row r="80" spans="1:16" x14ac:dyDescent="0.25">
      <c r="A80" t="s">
        <v>2</v>
      </c>
      <c r="B80">
        <v>261154568</v>
      </c>
      <c r="C80">
        <v>261116790</v>
      </c>
      <c r="D80">
        <v>10081</v>
      </c>
      <c r="E80">
        <v>849</v>
      </c>
      <c r="F80">
        <v>849</v>
      </c>
      <c r="G80">
        <v>253577163</v>
      </c>
      <c r="H80">
        <v>1392619</v>
      </c>
      <c r="I80">
        <v>81131482</v>
      </c>
      <c r="J80" s="1" t="s">
        <v>10</v>
      </c>
      <c r="K80" t="s">
        <v>7</v>
      </c>
      <c r="L80">
        <f t="shared" si="2"/>
        <v>0.84899999999999998</v>
      </c>
      <c r="M80">
        <f>G80/100000</f>
        <v>2535.7716300000002</v>
      </c>
      <c r="N80">
        <f t="shared" si="3"/>
        <v>139.2619</v>
      </c>
      <c r="O80">
        <f>I80/100000</f>
        <v>811.31482000000005</v>
      </c>
      <c r="P80">
        <f>LEN(A80)</f>
        <v>784</v>
      </c>
    </row>
    <row r="81" spans="1:16" x14ac:dyDescent="0.25">
      <c r="A81" t="s">
        <v>2</v>
      </c>
      <c r="B81">
        <v>261154568</v>
      </c>
      <c r="C81">
        <v>261116790</v>
      </c>
      <c r="D81">
        <v>10081</v>
      </c>
      <c r="E81">
        <v>849</v>
      </c>
      <c r="F81">
        <v>742510</v>
      </c>
      <c r="G81">
        <v>253555043</v>
      </c>
      <c r="H81">
        <v>11846065</v>
      </c>
      <c r="I81">
        <v>77305594</v>
      </c>
      <c r="J81" s="1" t="s">
        <v>17</v>
      </c>
      <c r="K81" t="s">
        <v>6</v>
      </c>
      <c r="L81">
        <f t="shared" si="2"/>
        <v>742.51</v>
      </c>
      <c r="M81">
        <f>G81/100000</f>
        <v>2535.5504299999998</v>
      </c>
      <c r="N81">
        <f t="shared" si="3"/>
        <v>1184.6065000000001</v>
      </c>
      <c r="O81">
        <f>I81/100000</f>
        <v>773.05593999999996</v>
      </c>
      <c r="P81">
        <f>LEN(A81)</f>
        <v>784</v>
      </c>
    </row>
    <row r="82" spans="1:16" x14ac:dyDescent="0.25">
      <c r="A82" s="2" t="s">
        <v>2</v>
      </c>
      <c r="B82" s="2">
        <v>261154568</v>
      </c>
      <c r="C82" s="2">
        <v>261116790</v>
      </c>
      <c r="D82" s="2">
        <v>10081</v>
      </c>
      <c r="E82" s="2">
        <v>849</v>
      </c>
      <c r="F82" s="2">
        <v>39187</v>
      </c>
      <c r="G82" s="2">
        <v>253475202</v>
      </c>
      <c r="H82" s="2">
        <v>1221727</v>
      </c>
      <c r="I82" s="2">
        <v>81845538</v>
      </c>
      <c r="J82" s="3" t="s">
        <v>11</v>
      </c>
      <c r="K82" s="2" t="s">
        <v>7</v>
      </c>
      <c r="L82">
        <f t="shared" si="2"/>
        <v>39.186999999999998</v>
      </c>
      <c r="M82" s="2">
        <f>G82/100000</f>
        <v>2534.7520199999999</v>
      </c>
      <c r="N82">
        <f t="shared" si="3"/>
        <v>122.17270000000001</v>
      </c>
      <c r="O82" s="2">
        <f>I82/100000</f>
        <v>818.45537999999999</v>
      </c>
      <c r="P82">
        <f>LEN(A82)</f>
        <v>784</v>
      </c>
    </row>
    <row r="83" spans="1:16" x14ac:dyDescent="0.25">
      <c r="A83" t="s">
        <v>2</v>
      </c>
      <c r="B83">
        <v>261154568</v>
      </c>
      <c r="C83">
        <v>261116790</v>
      </c>
      <c r="D83">
        <v>10081</v>
      </c>
      <c r="E83">
        <v>849</v>
      </c>
      <c r="F83">
        <v>849</v>
      </c>
      <c r="G83">
        <v>253265748</v>
      </c>
      <c r="H83">
        <v>7555419</v>
      </c>
      <c r="I83">
        <v>66766279</v>
      </c>
      <c r="J83" s="1" t="s">
        <v>8</v>
      </c>
      <c r="K83" t="s">
        <v>6</v>
      </c>
      <c r="L83">
        <f t="shared" si="2"/>
        <v>0.84899999999999998</v>
      </c>
      <c r="M83">
        <f>G83/100000</f>
        <v>2532.6574799999999</v>
      </c>
      <c r="N83">
        <f t="shared" si="3"/>
        <v>755.54190000000006</v>
      </c>
      <c r="O83">
        <f>I83/100000</f>
        <v>667.66278999999997</v>
      </c>
      <c r="P83">
        <f>LEN(A83)</f>
        <v>784</v>
      </c>
    </row>
    <row r="84" spans="1:16" x14ac:dyDescent="0.25">
      <c r="A84" t="s">
        <v>2</v>
      </c>
      <c r="B84">
        <v>261154568</v>
      </c>
      <c r="C84">
        <v>261116790</v>
      </c>
      <c r="D84">
        <v>10081</v>
      </c>
      <c r="E84">
        <v>849</v>
      </c>
      <c r="F84">
        <v>1160</v>
      </c>
      <c r="G84">
        <v>253079522</v>
      </c>
      <c r="H84">
        <v>995679</v>
      </c>
      <c r="I84">
        <v>79401287</v>
      </c>
      <c r="J84" s="1" t="s">
        <v>12</v>
      </c>
      <c r="K84" t="s">
        <v>7</v>
      </c>
      <c r="L84">
        <f t="shared" si="2"/>
        <v>1.1599999999999999</v>
      </c>
      <c r="M84">
        <f>G84/100000</f>
        <v>2530.79522</v>
      </c>
      <c r="N84">
        <f t="shared" si="3"/>
        <v>99.567899999999995</v>
      </c>
      <c r="O84">
        <f>I84/100000</f>
        <v>794.01287000000002</v>
      </c>
      <c r="P84">
        <f>LEN(A84)</f>
        <v>784</v>
      </c>
    </row>
    <row r="85" spans="1:16" x14ac:dyDescent="0.25">
      <c r="A85" t="s">
        <v>2</v>
      </c>
      <c r="B85">
        <v>261154568</v>
      </c>
      <c r="C85">
        <v>261116790</v>
      </c>
      <c r="D85">
        <v>10081</v>
      </c>
      <c r="E85">
        <v>849</v>
      </c>
      <c r="F85">
        <v>849</v>
      </c>
      <c r="G85">
        <v>251999272</v>
      </c>
      <c r="H85">
        <v>6300381</v>
      </c>
      <c r="I85">
        <v>66342398</v>
      </c>
      <c r="J85" s="1" t="s">
        <v>5</v>
      </c>
      <c r="K85" t="s">
        <v>6</v>
      </c>
      <c r="L85">
        <f t="shared" si="2"/>
        <v>0.84899999999999998</v>
      </c>
      <c r="M85">
        <f>G85/100000</f>
        <v>2519.9927200000002</v>
      </c>
      <c r="N85">
        <f t="shared" si="3"/>
        <v>630.03809999999999</v>
      </c>
      <c r="O85">
        <f>I85/100000</f>
        <v>663.42398000000003</v>
      </c>
      <c r="P85">
        <f>LEN(A85)</f>
        <v>784</v>
      </c>
    </row>
    <row r="86" spans="1:16" x14ac:dyDescent="0.25">
      <c r="A86" t="s">
        <v>2</v>
      </c>
      <c r="B86">
        <v>261154568</v>
      </c>
      <c r="C86">
        <v>261116790</v>
      </c>
      <c r="D86">
        <v>10081</v>
      </c>
      <c r="E86">
        <v>849</v>
      </c>
      <c r="F86">
        <v>849</v>
      </c>
      <c r="G86">
        <v>251951425</v>
      </c>
      <c r="H86">
        <v>3759977</v>
      </c>
      <c r="I86">
        <v>75237016</v>
      </c>
      <c r="J86" s="1" t="s">
        <v>5</v>
      </c>
      <c r="K86" t="s">
        <v>7</v>
      </c>
      <c r="L86">
        <f t="shared" si="2"/>
        <v>0.84899999999999998</v>
      </c>
      <c r="M86">
        <f>G86/100000</f>
        <v>2519.5142500000002</v>
      </c>
      <c r="N86">
        <f t="shared" si="3"/>
        <v>375.99770000000001</v>
      </c>
      <c r="O86">
        <f>I86/100000</f>
        <v>752.37016000000006</v>
      </c>
      <c r="P86">
        <f>LEN(A86)</f>
        <v>784</v>
      </c>
    </row>
    <row r="87" spans="1:16" x14ac:dyDescent="0.25">
      <c r="A87" t="s">
        <v>2</v>
      </c>
      <c r="B87">
        <v>261154568</v>
      </c>
      <c r="C87">
        <v>261116790</v>
      </c>
      <c r="D87">
        <v>10081</v>
      </c>
      <c r="E87">
        <v>849</v>
      </c>
      <c r="F87">
        <v>849</v>
      </c>
      <c r="G87">
        <v>251273308</v>
      </c>
      <c r="H87">
        <v>1185203</v>
      </c>
      <c r="I87">
        <v>75109397</v>
      </c>
      <c r="J87" s="1" t="s">
        <v>9</v>
      </c>
      <c r="K87" t="s">
        <v>7</v>
      </c>
      <c r="L87">
        <f t="shared" si="2"/>
        <v>0.84899999999999998</v>
      </c>
      <c r="M87">
        <f>G87/100000</f>
        <v>2512.73308</v>
      </c>
      <c r="N87">
        <f t="shared" si="3"/>
        <v>118.52030000000001</v>
      </c>
      <c r="O87">
        <f>I87/100000</f>
        <v>751.09397000000001</v>
      </c>
      <c r="P87">
        <f>LEN(A87)</f>
        <v>784</v>
      </c>
    </row>
    <row r="88" spans="1:16" x14ac:dyDescent="0.25">
      <c r="A88" t="s">
        <v>2</v>
      </c>
      <c r="B88">
        <v>261154568</v>
      </c>
      <c r="C88">
        <v>261116790</v>
      </c>
      <c r="D88">
        <v>10081</v>
      </c>
      <c r="E88">
        <v>849</v>
      </c>
      <c r="F88">
        <v>849</v>
      </c>
      <c r="G88">
        <v>250954040</v>
      </c>
      <c r="H88">
        <v>2633132</v>
      </c>
      <c r="I88">
        <v>74353752</v>
      </c>
      <c r="J88" s="1" t="s">
        <v>8</v>
      </c>
      <c r="K88" t="s">
        <v>7</v>
      </c>
      <c r="L88">
        <f t="shared" si="2"/>
        <v>0.84899999999999998</v>
      </c>
      <c r="M88">
        <f>G88/100000</f>
        <v>2509.5403999999999</v>
      </c>
      <c r="N88">
        <f t="shared" si="3"/>
        <v>263.31319999999999</v>
      </c>
      <c r="O88">
        <f>I88/100000</f>
        <v>743.53751999999997</v>
      </c>
      <c r="P88">
        <f>LEN(A88)</f>
        <v>784</v>
      </c>
    </row>
    <row r="89" spans="1:16" x14ac:dyDescent="0.25">
      <c r="A89" t="s">
        <v>2</v>
      </c>
      <c r="B89">
        <v>261154568</v>
      </c>
      <c r="C89">
        <v>261116790</v>
      </c>
      <c r="D89">
        <v>10081</v>
      </c>
      <c r="E89">
        <v>849</v>
      </c>
      <c r="F89">
        <v>849</v>
      </c>
      <c r="G89">
        <v>249444321</v>
      </c>
      <c r="H89">
        <v>10466944</v>
      </c>
      <c r="I89">
        <v>73080703</v>
      </c>
      <c r="J89" s="1" t="s">
        <v>17</v>
      </c>
      <c r="K89" t="s">
        <v>7</v>
      </c>
      <c r="L89">
        <f t="shared" si="2"/>
        <v>0.84899999999999998</v>
      </c>
      <c r="N89">
        <f t="shared" si="3"/>
        <v>1046.6944000000001</v>
      </c>
      <c r="O89">
        <f>I89/100000</f>
        <v>730.80703000000005</v>
      </c>
      <c r="P89">
        <f>LEN(A89)</f>
        <v>784</v>
      </c>
    </row>
    <row r="90" spans="1:16" x14ac:dyDescent="0.25">
      <c r="A90" t="s">
        <v>1</v>
      </c>
      <c r="B90">
        <v>261132201</v>
      </c>
      <c r="C90">
        <v>261235141</v>
      </c>
      <c r="D90">
        <v>8189</v>
      </c>
      <c r="E90">
        <v>636</v>
      </c>
      <c r="F90">
        <v>636</v>
      </c>
      <c r="G90">
        <v>191810960</v>
      </c>
      <c r="H90">
        <v>859686</v>
      </c>
      <c r="I90">
        <v>58559910</v>
      </c>
      <c r="J90" s="1" t="s">
        <v>16</v>
      </c>
      <c r="K90" t="s">
        <v>6</v>
      </c>
      <c r="L90">
        <f t="shared" si="2"/>
        <v>0.63600000000000001</v>
      </c>
      <c r="M90">
        <f>G90/100000</f>
        <v>1918.1096</v>
      </c>
      <c r="N90">
        <f t="shared" si="3"/>
        <v>85.968599999999995</v>
      </c>
      <c r="O90">
        <f>I90/100000</f>
        <v>585.59910000000002</v>
      </c>
      <c r="P90">
        <f>LEN(A90)</f>
        <v>884</v>
      </c>
    </row>
    <row r="91" spans="1:16" x14ac:dyDescent="0.25">
      <c r="A91" t="s">
        <v>1</v>
      </c>
      <c r="B91">
        <v>261132201</v>
      </c>
      <c r="C91">
        <v>261235141</v>
      </c>
      <c r="D91">
        <v>8189</v>
      </c>
      <c r="E91">
        <v>636</v>
      </c>
      <c r="F91">
        <v>636</v>
      </c>
      <c r="G91">
        <v>191713968</v>
      </c>
      <c r="H91">
        <v>926742</v>
      </c>
      <c r="I91">
        <v>56196260</v>
      </c>
      <c r="J91" s="1" t="s">
        <v>15</v>
      </c>
      <c r="K91" t="s">
        <v>6</v>
      </c>
      <c r="L91">
        <f t="shared" si="2"/>
        <v>0.63600000000000001</v>
      </c>
      <c r="M91">
        <f>G91/100000</f>
        <v>1917.13968</v>
      </c>
      <c r="N91">
        <f t="shared" si="3"/>
        <v>92.674199999999999</v>
      </c>
      <c r="O91">
        <f>I91/100000</f>
        <v>561.96259999999995</v>
      </c>
      <c r="P91">
        <f>LEN(A91)</f>
        <v>884</v>
      </c>
    </row>
    <row r="92" spans="1:16" x14ac:dyDescent="0.25">
      <c r="A92" t="s">
        <v>1</v>
      </c>
      <c r="B92">
        <v>261132201</v>
      </c>
      <c r="C92">
        <v>261235141</v>
      </c>
      <c r="D92">
        <v>8189</v>
      </c>
      <c r="E92">
        <v>636</v>
      </c>
      <c r="F92">
        <v>636</v>
      </c>
      <c r="G92">
        <v>191003256</v>
      </c>
      <c r="H92">
        <v>449793</v>
      </c>
      <c r="I92">
        <v>59607805</v>
      </c>
      <c r="J92" s="1" t="s">
        <v>14</v>
      </c>
      <c r="K92" t="s">
        <v>6</v>
      </c>
      <c r="L92">
        <f t="shared" si="2"/>
        <v>0.63600000000000001</v>
      </c>
      <c r="M92">
        <f>G92/100000</f>
        <v>1910.0325600000001</v>
      </c>
      <c r="N92">
        <f t="shared" si="3"/>
        <v>44.979300000000002</v>
      </c>
      <c r="O92">
        <f>I92/100000</f>
        <v>596.07804999999996</v>
      </c>
      <c r="P92">
        <f>LEN(A92)</f>
        <v>884</v>
      </c>
    </row>
    <row r="93" spans="1:16" x14ac:dyDescent="0.25">
      <c r="A93" t="s">
        <v>1</v>
      </c>
      <c r="B93">
        <v>261132201</v>
      </c>
      <c r="C93">
        <v>261235141</v>
      </c>
      <c r="D93">
        <v>8189</v>
      </c>
      <c r="E93">
        <v>636</v>
      </c>
      <c r="F93">
        <v>636</v>
      </c>
      <c r="G93">
        <v>190907212</v>
      </c>
      <c r="H93">
        <v>1932812</v>
      </c>
      <c r="I93">
        <v>55632154</v>
      </c>
      <c r="J93" s="1" t="s">
        <v>16</v>
      </c>
      <c r="K93" t="s">
        <v>7</v>
      </c>
      <c r="L93">
        <f t="shared" si="2"/>
        <v>0.63600000000000001</v>
      </c>
      <c r="M93">
        <f>G93/100000</f>
        <v>1909.07212</v>
      </c>
      <c r="N93">
        <f t="shared" si="3"/>
        <v>193.28120000000001</v>
      </c>
      <c r="O93">
        <f>I93/100000</f>
        <v>556.32154000000003</v>
      </c>
      <c r="P93">
        <f>LEN(A93)</f>
        <v>884</v>
      </c>
    </row>
    <row r="94" spans="1:16" x14ac:dyDescent="0.25">
      <c r="A94" t="s">
        <v>1</v>
      </c>
      <c r="B94">
        <v>261132201</v>
      </c>
      <c r="C94">
        <v>261235141</v>
      </c>
      <c r="D94">
        <v>8189</v>
      </c>
      <c r="E94">
        <v>636</v>
      </c>
      <c r="F94">
        <v>636</v>
      </c>
      <c r="G94">
        <v>190826351</v>
      </c>
      <c r="H94">
        <v>442397</v>
      </c>
      <c r="I94">
        <v>57345640</v>
      </c>
      <c r="J94" s="1" t="s">
        <v>15</v>
      </c>
      <c r="K94" t="s">
        <v>7</v>
      </c>
      <c r="L94">
        <f t="shared" si="2"/>
        <v>0.63600000000000001</v>
      </c>
      <c r="M94">
        <f>G94/100000</f>
        <v>1908.26351</v>
      </c>
      <c r="N94">
        <f t="shared" si="3"/>
        <v>44.239699999999999</v>
      </c>
      <c r="O94">
        <f>I94/100000</f>
        <v>573.45640000000003</v>
      </c>
      <c r="P94">
        <f>LEN(A94)</f>
        <v>884</v>
      </c>
    </row>
    <row r="95" spans="1:16" x14ac:dyDescent="0.25">
      <c r="A95" t="s">
        <v>1</v>
      </c>
      <c r="B95">
        <v>261132201</v>
      </c>
      <c r="C95">
        <v>261235141</v>
      </c>
      <c r="D95">
        <v>8189</v>
      </c>
      <c r="E95">
        <v>636</v>
      </c>
      <c r="F95">
        <v>1268</v>
      </c>
      <c r="G95">
        <v>190822566</v>
      </c>
      <c r="H95">
        <v>69250</v>
      </c>
      <c r="I95">
        <v>57831256</v>
      </c>
      <c r="J95" s="1" t="s">
        <v>10</v>
      </c>
      <c r="K95" t="s">
        <v>6</v>
      </c>
      <c r="L95">
        <f t="shared" si="2"/>
        <v>1.268</v>
      </c>
      <c r="M95">
        <f>G95/100000</f>
        <v>1908.2256600000001</v>
      </c>
      <c r="N95">
        <f t="shared" si="3"/>
        <v>6.9249999999999998</v>
      </c>
      <c r="O95">
        <f>I95/100000</f>
        <v>578.31255999999996</v>
      </c>
      <c r="P95">
        <f>LEN(A95)</f>
        <v>884</v>
      </c>
    </row>
    <row r="96" spans="1:16" x14ac:dyDescent="0.25">
      <c r="A96" t="s">
        <v>1</v>
      </c>
      <c r="B96">
        <v>261132201</v>
      </c>
      <c r="C96">
        <v>261235141</v>
      </c>
      <c r="D96">
        <v>8189</v>
      </c>
      <c r="E96">
        <v>636</v>
      </c>
      <c r="F96">
        <v>30698</v>
      </c>
      <c r="G96">
        <v>190327769</v>
      </c>
      <c r="H96">
        <v>313342</v>
      </c>
      <c r="I96">
        <v>59912541</v>
      </c>
      <c r="J96" s="1" t="s">
        <v>13</v>
      </c>
      <c r="K96" t="s">
        <v>6</v>
      </c>
      <c r="L96">
        <f t="shared" si="2"/>
        <v>30.698</v>
      </c>
      <c r="M96">
        <f>G96/100000</f>
        <v>1903.2776899999999</v>
      </c>
      <c r="N96">
        <f t="shared" si="3"/>
        <v>31.334199999999999</v>
      </c>
      <c r="O96">
        <f>I96/100000</f>
        <v>599.12540999999999</v>
      </c>
      <c r="P96">
        <f>LEN(A96)</f>
        <v>884</v>
      </c>
    </row>
    <row r="97" spans="1:16" x14ac:dyDescent="0.25">
      <c r="A97" t="s">
        <v>1</v>
      </c>
      <c r="B97">
        <v>261132201</v>
      </c>
      <c r="C97">
        <v>261235141</v>
      </c>
      <c r="D97">
        <v>8189</v>
      </c>
      <c r="E97">
        <v>636</v>
      </c>
      <c r="F97">
        <v>636</v>
      </c>
      <c r="G97">
        <v>190254434</v>
      </c>
      <c r="H97">
        <v>1284689</v>
      </c>
      <c r="I97">
        <v>60096152</v>
      </c>
      <c r="J97" s="1" t="s">
        <v>12</v>
      </c>
      <c r="K97" t="s">
        <v>6</v>
      </c>
      <c r="L97">
        <f t="shared" si="2"/>
        <v>0.63600000000000001</v>
      </c>
      <c r="M97">
        <f>G97/100000</f>
        <v>1902.5443399999999</v>
      </c>
      <c r="N97">
        <f t="shared" si="3"/>
        <v>128.46889999999999</v>
      </c>
      <c r="O97">
        <f>I97/100000</f>
        <v>600.96151999999995</v>
      </c>
      <c r="P97">
        <f>LEN(A97)</f>
        <v>884</v>
      </c>
    </row>
    <row r="98" spans="1:16" x14ac:dyDescent="0.25">
      <c r="A98" t="s">
        <v>1</v>
      </c>
      <c r="B98">
        <v>261132201</v>
      </c>
      <c r="C98">
        <v>261235141</v>
      </c>
      <c r="D98">
        <v>8189</v>
      </c>
      <c r="E98">
        <v>636</v>
      </c>
      <c r="F98">
        <v>636</v>
      </c>
      <c r="G98">
        <v>190144894</v>
      </c>
      <c r="H98">
        <v>107095</v>
      </c>
      <c r="I98">
        <v>62409469</v>
      </c>
      <c r="J98" s="1" t="s">
        <v>13</v>
      </c>
      <c r="K98" t="s">
        <v>7</v>
      </c>
      <c r="L98">
        <f t="shared" si="2"/>
        <v>0.63600000000000001</v>
      </c>
      <c r="M98">
        <f>G98/100000</f>
        <v>1901.44894</v>
      </c>
      <c r="N98">
        <f t="shared" si="3"/>
        <v>10.7095</v>
      </c>
      <c r="O98">
        <f>I98/100000</f>
        <v>624.09469000000001</v>
      </c>
      <c r="P98">
        <f>LEN(A98)</f>
        <v>884</v>
      </c>
    </row>
    <row r="99" spans="1:16" x14ac:dyDescent="0.25">
      <c r="A99" t="s">
        <v>1</v>
      </c>
      <c r="B99">
        <v>261132201</v>
      </c>
      <c r="C99">
        <v>261235141</v>
      </c>
      <c r="D99">
        <v>8189</v>
      </c>
      <c r="E99">
        <v>636</v>
      </c>
      <c r="F99">
        <v>74483</v>
      </c>
      <c r="G99">
        <v>190110125</v>
      </c>
      <c r="H99">
        <v>379519</v>
      </c>
      <c r="I99">
        <v>58274150</v>
      </c>
      <c r="J99" s="1" t="s">
        <v>11</v>
      </c>
      <c r="K99" t="s">
        <v>6</v>
      </c>
      <c r="L99">
        <f t="shared" si="2"/>
        <v>74.483000000000004</v>
      </c>
      <c r="M99">
        <f>G99/100000</f>
        <v>1901.1012499999999</v>
      </c>
      <c r="N99">
        <f t="shared" si="3"/>
        <v>37.951900000000002</v>
      </c>
      <c r="O99">
        <f>I99/100000</f>
        <v>582.74149999999997</v>
      </c>
      <c r="P99">
        <f>LEN(A99)</f>
        <v>884</v>
      </c>
    </row>
    <row r="100" spans="1:16" x14ac:dyDescent="0.25">
      <c r="A100" t="s">
        <v>1</v>
      </c>
      <c r="B100">
        <v>261132201</v>
      </c>
      <c r="C100">
        <v>261235141</v>
      </c>
      <c r="D100">
        <v>8189</v>
      </c>
      <c r="E100">
        <v>636</v>
      </c>
      <c r="F100">
        <v>11176</v>
      </c>
      <c r="G100">
        <v>190076862</v>
      </c>
      <c r="H100">
        <v>1854232</v>
      </c>
      <c r="I100">
        <v>62145862</v>
      </c>
      <c r="J100" s="1" t="s">
        <v>14</v>
      </c>
      <c r="K100" t="s">
        <v>7</v>
      </c>
      <c r="L100">
        <f t="shared" si="2"/>
        <v>11.176</v>
      </c>
      <c r="M100">
        <f>G100/100000</f>
        <v>1900.7686200000001</v>
      </c>
      <c r="N100">
        <f t="shared" si="3"/>
        <v>185.42320000000001</v>
      </c>
      <c r="O100">
        <f>I100/100000</f>
        <v>621.45862</v>
      </c>
      <c r="P100">
        <f>LEN(A100)</f>
        <v>884</v>
      </c>
    </row>
    <row r="101" spans="1:16" x14ac:dyDescent="0.25">
      <c r="A101" t="s">
        <v>1</v>
      </c>
      <c r="B101">
        <v>261132201</v>
      </c>
      <c r="C101">
        <v>261235141</v>
      </c>
      <c r="D101">
        <v>8189</v>
      </c>
      <c r="E101">
        <v>636</v>
      </c>
      <c r="F101">
        <v>27342</v>
      </c>
      <c r="G101">
        <v>189923942</v>
      </c>
      <c r="H101">
        <v>835656</v>
      </c>
      <c r="I101">
        <v>60940119</v>
      </c>
      <c r="J101" s="1" t="s">
        <v>11</v>
      </c>
      <c r="K101" t="s">
        <v>7</v>
      </c>
      <c r="L101">
        <f t="shared" si="2"/>
        <v>27.341999999999999</v>
      </c>
      <c r="M101">
        <f>G101/100000</f>
        <v>1899.2394200000001</v>
      </c>
      <c r="N101">
        <f t="shared" si="3"/>
        <v>83.565600000000003</v>
      </c>
      <c r="O101">
        <f>I101/100000</f>
        <v>609.40119000000004</v>
      </c>
      <c r="P101">
        <f>LEN(A101)</f>
        <v>884</v>
      </c>
    </row>
    <row r="102" spans="1:16" x14ac:dyDescent="0.25">
      <c r="A102" t="s">
        <v>1</v>
      </c>
      <c r="B102">
        <v>261132201</v>
      </c>
      <c r="C102">
        <v>261235141</v>
      </c>
      <c r="D102">
        <v>8189</v>
      </c>
      <c r="E102">
        <v>636</v>
      </c>
      <c r="F102">
        <v>636</v>
      </c>
      <c r="G102">
        <v>189897237</v>
      </c>
      <c r="H102">
        <v>1286744</v>
      </c>
      <c r="I102">
        <v>53261275</v>
      </c>
      <c r="J102" s="1" t="s">
        <v>9</v>
      </c>
      <c r="K102" t="s">
        <v>6</v>
      </c>
      <c r="L102">
        <f t="shared" si="2"/>
        <v>0.63600000000000001</v>
      </c>
      <c r="M102">
        <f>G102/100000</f>
        <v>1898.97237</v>
      </c>
      <c r="N102">
        <f t="shared" si="3"/>
        <v>128.67439999999999</v>
      </c>
      <c r="O102">
        <f>I102/100000</f>
        <v>532.61275000000001</v>
      </c>
      <c r="P102">
        <f>LEN(A102)</f>
        <v>884</v>
      </c>
    </row>
    <row r="103" spans="1:16" x14ac:dyDescent="0.25">
      <c r="A103" t="s">
        <v>1</v>
      </c>
      <c r="B103">
        <v>261132201</v>
      </c>
      <c r="C103">
        <v>261235141</v>
      </c>
      <c r="D103">
        <v>8189</v>
      </c>
      <c r="E103">
        <v>636</v>
      </c>
      <c r="F103">
        <v>636</v>
      </c>
      <c r="G103">
        <v>189892660</v>
      </c>
      <c r="H103">
        <v>1004860</v>
      </c>
      <c r="I103">
        <v>60927977</v>
      </c>
      <c r="J103" s="1" t="s">
        <v>10</v>
      </c>
      <c r="K103" t="s">
        <v>7</v>
      </c>
      <c r="L103">
        <f t="shared" si="2"/>
        <v>0.63600000000000001</v>
      </c>
      <c r="M103">
        <f>G103/100000</f>
        <v>1898.9266</v>
      </c>
      <c r="N103">
        <f t="shared" si="3"/>
        <v>100.486</v>
      </c>
      <c r="O103">
        <f>I103/100000</f>
        <v>609.27976999999998</v>
      </c>
      <c r="P103">
        <f>LEN(A103)</f>
        <v>884</v>
      </c>
    </row>
    <row r="104" spans="1:16" x14ac:dyDescent="0.25">
      <c r="A104" t="s">
        <v>1</v>
      </c>
      <c r="B104">
        <v>261132201</v>
      </c>
      <c r="C104">
        <v>261235141</v>
      </c>
      <c r="D104">
        <v>8189</v>
      </c>
      <c r="E104">
        <v>636</v>
      </c>
      <c r="F104">
        <v>147892</v>
      </c>
      <c r="G104">
        <v>189868327</v>
      </c>
      <c r="H104">
        <v>8909594</v>
      </c>
      <c r="I104">
        <v>58964651</v>
      </c>
      <c r="J104" s="1" t="s">
        <v>17</v>
      </c>
      <c r="K104" t="s">
        <v>6</v>
      </c>
      <c r="L104">
        <f t="shared" si="2"/>
        <v>147.892</v>
      </c>
      <c r="M104">
        <f>G104/100000</f>
        <v>1898.68327</v>
      </c>
      <c r="N104">
        <f t="shared" si="3"/>
        <v>890.95939999999996</v>
      </c>
      <c r="O104">
        <f>I104/100000</f>
        <v>589.64651000000003</v>
      </c>
      <c r="P104">
        <f>LEN(A104)</f>
        <v>884</v>
      </c>
    </row>
    <row r="105" spans="1:16" x14ac:dyDescent="0.25">
      <c r="A105" t="s">
        <v>1</v>
      </c>
      <c r="B105">
        <v>261132201</v>
      </c>
      <c r="C105">
        <v>261235141</v>
      </c>
      <c r="D105">
        <v>8189</v>
      </c>
      <c r="E105">
        <v>636</v>
      </c>
      <c r="F105">
        <v>636</v>
      </c>
      <c r="G105">
        <v>189682197</v>
      </c>
      <c r="H105">
        <v>5522224</v>
      </c>
      <c r="I105">
        <v>51269400</v>
      </c>
      <c r="J105" s="1" t="s">
        <v>8</v>
      </c>
      <c r="K105" t="s">
        <v>6</v>
      </c>
      <c r="L105">
        <f t="shared" si="2"/>
        <v>0.63600000000000001</v>
      </c>
      <c r="M105">
        <f>G105/100000</f>
        <v>1896.82197</v>
      </c>
      <c r="N105">
        <f t="shared" si="3"/>
        <v>552.22239999999999</v>
      </c>
      <c r="O105">
        <f>I105/100000</f>
        <v>512.69399999999996</v>
      </c>
      <c r="P105">
        <f>LEN(A105)</f>
        <v>884</v>
      </c>
    </row>
    <row r="106" spans="1:16" x14ac:dyDescent="0.25">
      <c r="A106" t="s">
        <v>1</v>
      </c>
      <c r="B106">
        <v>261132201</v>
      </c>
      <c r="C106">
        <v>261235141</v>
      </c>
      <c r="D106">
        <v>8189</v>
      </c>
      <c r="E106">
        <v>636</v>
      </c>
      <c r="F106">
        <v>707</v>
      </c>
      <c r="G106">
        <v>189531435</v>
      </c>
      <c r="H106">
        <v>773170</v>
      </c>
      <c r="I106">
        <v>59161997</v>
      </c>
      <c r="J106" s="1" t="s">
        <v>12</v>
      </c>
      <c r="K106" t="s">
        <v>7</v>
      </c>
      <c r="L106">
        <f t="shared" si="2"/>
        <v>0.70699999999999996</v>
      </c>
      <c r="M106">
        <f>G106/100000</f>
        <v>1895.3143500000001</v>
      </c>
      <c r="N106">
        <f t="shared" si="3"/>
        <v>77.316999999999993</v>
      </c>
      <c r="O106">
        <f>I106/100000</f>
        <v>591.61996999999997</v>
      </c>
      <c r="P106">
        <f>LEN(A106)</f>
        <v>884</v>
      </c>
    </row>
    <row r="107" spans="1:16" x14ac:dyDescent="0.25">
      <c r="A107" t="s">
        <v>1</v>
      </c>
      <c r="B107">
        <v>261132201</v>
      </c>
      <c r="C107">
        <v>261235141</v>
      </c>
      <c r="D107">
        <v>8189</v>
      </c>
      <c r="E107">
        <v>636</v>
      </c>
      <c r="F107">
        <v>636</v>
      </c>
      <c r="G107">
        <v>188695943</v>
      </c>
      <c r="H107">
        <v>4750856</v>
      </c>
      <c r="I107">
        <v>49942574</v>
      </c>
      <c r="J107" s="1" t="s">
        <v>5</v>
      </c>
      <c r="K107" t="s">
        <v>6</v>
      </c>
      <c r="L107">
        <f t="shared" si="2"/>
        <v>0.63600000000000001</v>
      </c>
      <c r="M107">
        <f>G107/100000</f>
        <v>1886.9594300000001</v>
      </c>
      <c r="N107">
        <f t="shared" si="3"/>
        <v>475.0856</v>
      </c>
      <c r="O107">
        <f>I107/100000</f>
        <v>499.42574000000002</v>
      </c>
      <c r="P107">
        <f>LEN(A107)</f>
        <v>884</v>
      </c>
    </row>
    <row r="108" spans="1:16" x14ac:dyDescent="0.25">
      <c r="A108" t="s">
        <v>1</v>
      </c>
      <c r="B108">
        <v>261132201</v>
      </c>
      <c r="C108">
        <v>261235141</v>
      </c>
      <c r="D108">
        <v>8189</v>
      </c>
      <c r="E108">
        <v>636</v>
      </c>
      <c r="F108">
        <v>636</v>
      </c>
      <c r="G108">
        <v>188687756</v>
      </c>
      <c r="H108">
        <v>2777297</v>
      </c>
      <c r="I108">
        <v>56626011</v>
      </c>
      <c r="J108" s="1" t="s">
        <v>5</v>
      </c>
      <c r="K108" t="s">
        <v>7</v>
      </c>
      <c r="L108">
        <f t="shared" si="2"/>
        <v>0.63600000000000001</v>
      </c>
      <c r="M108">
        <f>G108/100000</f>
        <v>1886.8775599999999</v>
      </c>
      <c r="N108">
        <f t="shared" si="3"/>
        <v>277.72969999999998</v>
      </c>
      <c r="O108">
        <f>I108/100000</f>
        <v>566.26011000000005</v>
      </c>
      <c r="P108">
        <f>LEN(A108)</f>
        <v>884</v>
      </c>
    </row>
    <row r="109" spans="1:16" x14ac:dyDescent="0.25">
      <c r="A109" t="s">
        <v>1</v>
      </c>
      <c r="B109">
        <v>261132201</v>
      </c>
      <c r="C109">
        <v>261235141</v>
      </c>
      <c r="D109">
        <v>8189</v>
      </c>
      <c r="E109">
        <v>636</v>
      </c>
      <c r="F109">
        <v>636</v>
      </c>
      <c r="G109">
        <v>188206722</v>
      </c>
      <c r="H109">
        <v>903831</v>
      </c>
      <c r="I109">
        <v>56291056</v>
      </c>
      <c r="J109" s="1" t="s">
        <v>9</v>
      </c>
      <c r="K109" t="s">
        <v>7</v>
      </c>
      <c r="L109">
        <f t="shared" si="2"/>
        <v>0.63600000000000001</v>
      </c>
      <c r="M109">
        <f>G109/100000</f>
        <v>1882.0672199999999</v>
      </c>
      <c r="N109">
        <f t="shared" si="3"/>
        <v>90.383099999999999</v>
      </c>
      <c r="O109">
        <f>I109/100000</f>
        <v>562.91056000000003</v>
      </c>
      <c r="P109">
        <f>LEN(A109)</f>
        <v>884</v>
      </c>
    </row>
    <row r="110" spans="1:16" x14ac:dyDescent="0.25">
      <c r="A110" t="s">
        <v>1</v>
      </c>
      <c r="B110">
        <v>261132201</v>
      </c>
      <c r="C110">
        <v>261235141</v>
      </c>
      <c r="D110">
        <v>8189</v>
      </c>
      <c r="E110">
        <v>636</v>
      </c>
      <c r="F110">
        <v>636</v>
      </c>
      <c r="G110">
        <v>187927976</v>
      </c>
      <c r="H110">
        <v>2163883</v>
      </c>
      <c r="I110">
        <v>55494973</v>
      </c>
      <c r="J110" s="1" t="s">
        <v>8</v>
      </c>
      <c r="K110" t="s">
        <v>7</v>
      </c>
      <c r="L110">
        <f t="shared" si="2"/>
        <v>0.63600000000000001</v>
      </c>
      <c r="M110">
        <f>G110/100000</f>
        <v>1879.2797599999999</v>
      </c>
      <c r="N110">
        <f t="shared" si="3"/>
        <v>216.38829999999999</v>
      </c>
      <c r="O110">
        <f>I110/100000</f>
        <v>554.94973000000005</v>
      </c>
      <c r="P110">
        <f>LEN(A110)</f>
        <v>884</v>
      </c>
    </row>
    <row r="111" spans="1:16" x14ac:dyDescent="0.25">
      <c r="A111" t="s">
        <v>1</v>
      </c>
      <c r="B111">
        <v>261132201</v>
      </c>
      <c r="C111">
        <v>261235141</v>
      </c>
      <c r="D111">
        <v>8189</v>
      </c>
      <c r="E111">
        <v>636</v>
      </c>
      <c r="F111">
        <v>636</v>
      </c>
      <c r="G111">
        <v>186790761</v>
      </c>
      <c r="H111">
        <v>7864698</v>
      </c>
      <c r="I111">
        <v>54833023</v>
      </c>
      <c r="J111" s="1" t="s">
        <v>17</v>
      </c>
      <c r="K111" t="s">
        <v>7</v>
      </c>
      <c r="L111">
        <f t="shared" si="2"/>
        <v>0.63600000000000001</v>
      </c>
      <c r="N111">
        <f t="shared" si="3"/>
        <v>786.46979999999996</v>
      </c>
      <c r="O111">
        <f>I111/100000</f>
        <v>548.33023000000003</v>
      </c>
      <c r="P111">
        <f>LEN(A111)</f>
        <v>884</v>
      </c>
    </row>
  </sheetData>
  <sortState xmlns:xlrd2="http://schemas.microsoft.com/office/spreadsheetml/2017/richdata2" ref="A2:O111">
    <sortCondition descending="1" ref="B2:B11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rutas2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Kirill Makienko Tkachenko</cp:lastModifiedBy>
  <dcterms:created xsi:type="dcterms:W3CDTF">2025-10-13T14:57:59Z</dcterms:created>
  <dcterms:modified xsi:type="dcterms:W3CDTF">2025-10-13T15:06:09Z</dcterms:modified>
</cp:coreProperties>
</file>